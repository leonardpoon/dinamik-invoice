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na\OneDrive\Desktop\projects\dinamik-invoice\"/>
    </mc:Choice>
  </mc:AlternateContent>
  <xr:revisionPtr revIDLastSave="0" documentId="8_{29554F6C-373D-4141-BB7C-04A87962E1A4}" xr6:coauthVersionLast="47" xr6:coauthVersionMax="47" xr10:uidLastSave="{00000000-0000-0000-0000-000000000000}"/>
  <bookViews>
    <workbookView xWindow="-108" yWindow="-108" windowWidth="23256" windowHeight="13896" xr2:uid="{E15E8968-F610-427D-8886-9B3EEBD78B64}"/>
  </bookViews>
  <sheets>
    <sheet name="DNxxSep.JS10.BST.90USSAV01" sheetId="2" r:id="rId1"/>
    <sheet name="Sep2025 (2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57" i="2" l="1"/>
  <c r="U57" i="2"/>
  <c r="U56" i="2"/>
  <c r="T40" i="2"/>
  <c r="T39" i="2"/>
  <c r="V35" i="2"/>
  <c r="T35" i="2"/>
  <c r="N31" i="2"/>
  <c r="AA26" i="2"/>
  <c r="T26" i="2"/>
  <c r="N26" i="2"/>
  <c r="AE26" i="2" s="1"/>
  <c r="AE31" i="2" s="1"/>
  <c r="W23" i="2"/>
  <c r="V23" i="2"/>
  <c r="T23" i="2"/>
  <c r="T22" i="2"/>
  <c r="T21" i="2"/>
  <c r="AA20" i="2"/>
  <c r="Z20" i="2"/>
  <c r="T20" i="2"/>
  <c r="AB19" i="2"/>
  <c r="AA19" i="2"/>
  <c r="X19" i="2"/>
  <c r="T19" i="2"/>
  <c r="AC18" i="2"/>
  <c r="Z18" i="2"/>
  <c r="U18" i="2"/>
  <c r="T18" i="2"/>
  <c r="I18" i="2"/>
  <c r="AB17" i="2"/>
  <c r="Z17" i="2"/>
  <c r="T17" i="2"/>
  <c r="T16" i="2"/>
  <c r="AE12" i="2"/>
  <c r="AD12" i="2"/>
  <c r="T12" i="2"/>
  <c r="T11" i="2"/>
  <c r="T10" i="2"/>
  <c r="AD9" i="2"/>
  <c r="T9" i="2"/>
  <c r="T8" i="2"/>
  <c r="T7" i="2"/>
  <c r="U61" i="2" l="1"/>
  <c r="AA60" i="2"/>
  <c r="X60" i="2"/>
  <c r="U60" i="2"/>
  <c r="X59" i="2"/>
  <c r="U59" i="2"/>
  <c r="AA58" i="2"/>
  <c r="AE57" i="2" s="1"/>
  <c r="X58" i="2"/>
  <c r="AE56" i="2" s="1"/>
  <c r="U58" i="2"/>
  <c r="AE55" i="2" s="1"/>
  <c r="AE58" i="2" s="1"/>
  <c r="AE61" i="2" s="1"/>
</calcChain>
</file>

<file path=xl/sharedStrings.xml><?xml version="1.0" encoding="utf-8"?>
<sst xmlns="http://schemas.openxmlformats.org/spreadsheetml/2006/main" count="110" uniqueCount="95">
  <si>
    <t xml:space="preserve">Date: </t>
  </si>
  <si>
    <t>SABAH RUBBER INDUSTRY BOARD</t>
  </si>
  <si>
    <t>LEVEL 3, WISMA PERTANIAN SABAH,</t>
  </si>
  <si>
    <t>JALAN TASIK,</t>
  </si>
  <si>
    <t>LUYANG (OFF JALAN MAKTAB GAYA)</t>
  </si>
  <si>
    <t>KOTA KINABALU, SABAH,</t>
  </si>
  <si>
    <t>EAST MALAYSIA</t>
  </si>
  <si>
    <t>Attn: Ms Chia Ching Lian</t>
  </si>
  <si>
    <t>We enclose the following Debit notes and will appreciate your early settlement.</t>
  </si>
  <si>
    <t>DN202508-11</t>
  </si>
  <si>
    <t>DN202509-01</t>
  </si>
  <si>
    <t>DN202508-12</t>
  </si>
  <si>
    <t>DN202509-02</t>
  </si>
  <si>
    <t>DN202508-13</t>
  </si>
  <si>
    <t>DN202509-03</t>
  </si>
  <si>
    <t>DN202508-14</t>
  </si>
  <si>
    <t>DN202509-04</t>
  </si>
  <si>
    <t>DN202508-15</t>
  </si>
  <si>
    <t>DN202509-05</t>
  </si>
  <si>
    <t>DN202508-16</t>
  </si>
  <si>
    <t>DN202509-06</t>
  </si>
  <si>
    <t>DN202509-07</t>
  </si>
  <si>
    <t>DN202509-08</t>
  </si>
  <si>
    <t>DN202509-09</t>
  </si>
  <si>
    <t>DN202509-10</t>
  </si>
  <si>
    <t>DN202509-11</t>
  </si>
  <si>
    <t>DN202509-12</t>
  </si>
  <si>
    <t>DN202509-13</t>
  </si>
  <si>
    <t>Yours Faithfully,</t>
  </si>
  <si>
    <t>DINAMIK SHIPPING PTE LTD</t>
  </si>
  <si>
    <t>Deanna Lim</t>
  </si>
  <si>
    <t>General Manager</t>
  </si>
  <si>
    <t>138 Cecil Street #09-03, Cecil Court, Singapore 069538   Tel: (65) 6222 2811  Fax: (65) 6222 2155</t>
  </si>
  <si>
    <t>Company Registration No. 200403109N</t>
  </si>
  <si>
    <t>Sabah Rubber Industry Board</t>
  </si>
  <si>
    <t>Debit Note</t>
  </si>
  <si>
    <t>Level 3, Wisma Pertanian Sabah</t>
  </si>
  <si>
    <t>Jalan Tasik</t>
  </si>
  <si>
    <t>No.  :</t>
  </si>
  <si>
    <t>DN202609-xx</t>
  </si>
  <si>
    <t>Luyang (off Jalan Maktab Gaya)</t>
  </si>
  <si>
    <t>Kota Kinabalu, Sabah</t>
  </si>
  <si>
    <t>East Malaysia</t>
  </si>
  <si>
    <t>Date  :</t>
  </si>
  <si>
    <t>Your Invoice No. 132xx</t>
  </si>
  <si>
    <t>Bridgestone Singapore Pte Ltd</t>
  </si>
  <si>
    <t>Contract No.</t>
  </si>
  <si>
    <t>Metal  Boxes (MB5)</t>
  </si>
  <si>
    <t xml:space="preserve">M/Tons </t>
  </si>
  <si>
    <t>SMR 20 Rubber</t>
  </si>
  <si>
    <t>M/Tons</t>
  </si>
  <si>
    <t>Ex Jade Star</t>
  </si>
  <si>
    <t>Voy 2610W    Arrd</t>
  </si>
  <si>
    <t>B/L No. JJST2610W-BKI01</t>
  </si>
  <si>
    <t>(179/26</t>
  </si>
  <si>
    <t>Tuaran)</t>
  </si>
  <si>
    <t>Shipped per Zim Mount Vinson Voy 12E</t>
  </si>
  <si>
    <t>To Savannah, USA</t>
  </si>
  <si>
    <t>B/L dated</t>
  </si>
  <si>
    <t>Transhipment Charge</t>
  </si>
  <si>
    <t>@ S$</t>
  </si>
  <si>
    <t>per M/Ton</t>
  </si>
  <si>
    <t>S$</t>
  </si>
  <si>
    <t>Singapore Dollars</t>
  </si>
  <si>
    <t>Six Thousand One Hundred Twenty Three and cents Sixty only</t>
  </si>
  <si>
    <t>Payment to be made to DINAMIK SHIPPING PTE LTD by Telegraphic Transfer to our account</t>
  </si>
  <si>
    <t>No. 651-869620-001 with OCBC Bank (Singapore), MBFC Branch, Swift Code: OCBCSGSG</t>
  </si>
  <si>
    <r>
      <t xml:space="preserve">for </t>
    </r>
    <r>
      <rPr>
        <b/>
        <sz val="10"/>
        <rFont val="Tahoma"/>
        <family val="2"/>
      </rPr>
      <t>DINAMIK SHIPPING PTE LTD</t>
    </r>
  </si>
  <si>
    <r>
      <t xml:space="preserve">for </t>
    </r>
    <r>
      <rPr>
        <b/>
        <sz val="10"/>
        <color indexed="58"/>
        <rFont val="Tahoma"/>
        <family val="2"/>
      </rPr>
      <t>DINAMIK SHIPPING PTE LTD</t>
    </r>
  </si>
  <si>
    <t>…………………………………………………………</t>
  </si>
  <si>
    <t>E &amp; O E</t>
  </si>
  <si>
    <t xml:space="preserve"> [ ACCOUNT'S COPY ]</t>
  </si>
  <si>
    <t>BL</t>
  </si>
  <si>
    <t>-</t>
  </si>
  <si>
    <t>Port Charges</t>
  </si>
  <si>
    <t>HSC</t>
  </si>
  <si>
    <t>PERMIT</t>
  </si>
  <si>
    <t>Transport</t>
  </si>
  <si>
    <t>SR</t>
  </si>
  <si>
    <t>AF</t>
  </si>
  <si>
    <t>SEAL</t>
  </si>
  <si>
    <t>Misc</t>
  </si>
  <si>
    <t>EC</t>
  </si>
  <si>
    <t>TR</t>
  </si>
  <si>
    <t>RM</t>
  </si>
  <si>
    <t>Total</t>
  </si>
  <si>
    <t>DHC</t>
  </si>
  <si>
    <t>STF</t>
  </si>
  <si>
    <t>CL</t>
  </si>
  <si>
    <t>CMAS</t>
  </si>
  <si>
    <t>FL</t>
  </si>
  <si>
    <t>STK</t>
  </si>
  <si>
    <t>IR</t>
  </si>
  <si>
    <t>OTHERS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</si>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</sst>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809]d\ mmmm\ yyyy;@"/>
    <numFmt numFmtId="165" formatCode="mmm\ yyyy"/>
    <numFmt numFmtId="166" formatCode="_(* #,##0.00_);_(* \(#,##0.00\);_(* &quot;-&quot;??_);_(@_)"/>
  </numFmts>
  <fonts count="27" x14ac:knownFonts="1">
    <font>
      <sz val="10"/>
      <name val="Arial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Tahoma"/>
      <family val="2"/>
    </font>
    <font>
      <b/>
      <sz val="16"/>
      <name val="Tahoma"/>
      <family val="2"/>
    </font>
    <font>
      <sz val="9"/>
      <color indexed="58"/>
      <name val="Tahoma"/>
      <family val="2"/>
    </font>
    <font>
      <b/>
      <sz val="16"/>
      <color indexed="58"/>
      <name val="Tahoma"/>
      <family val="2"/>
    </font>
    <font>
      <sz val="10"/>
      <color indexed="58"/>
      <name val="Arial"/>
      <family val="2"/>
    </font>
    <font>
      <sz val="9"/>
      <color rgb="FFFF000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0"/>
      <color indexed="58"/>
      <name val="Tahoma"/>
      <family val="2"/>
    </font>
    <font>
      <b/>
      <sz val="12"/>
      <color indexed="58"/>
      <name val="Tahoma"/>
      <family val="2"/>
    </font>
    <font>
      <sz val="10"/>
      <name val="Tahoma"/>
      <family val="2"/>
    </font>
    <font>
      <sz val="10"/>
      <color indexed="58"/>
      <name val="Tahoma"/>
      <family val="2"/>
    </font>
    <font>
      <sz val="10"/>
      <color rgb="FF000000"/>
      <name val="Tahoma"/>
      <family val="2"/>
    </font>
    <font>
      <sz val="8"/>
      <name val="Tahoma"/>
      <family val="2"/>
    </font>
    <font>
      <sz val="8"/>
      <color indexed="58"/>
      <name val="Tahoma"/>
      <family val="2"/>
    </font>
    <font>
      <b/>
      <sz val="9"/>
      <name val="Tahoma"/>
      <family val="2"/>
    </font>
    <font>
      <b/>
      <sz val="9"/>
      <color indexed="58"/>
      <name val="Tahoma"/>
      <family val="2"/>
    </font>
    <font>
      <sz val="8"/>
      <name val="Arial Narrow"/>
      <family val="2"/>
    </font>
    <font>
      <b/>
      <sz val="8"/>
      <color indexed="58"/>
      <name val="Tahoma"/>
      <family val="2"/>
    </font>
    <font>
      <sz val="8"/>
      <color indexed="58"/>
      <name val="Arial"/>
      <family val="2"/>
    </font>
    <font>
      <sz val="8"/>
      <color indexed="12"/>
      <name val="Tahoma"/>
      <family val="2"/>
    </font>
    <font>
      <b/>
      <sz val="8"/>
      <name val="Arial Narrow"/>
      <family val="2"/>
    </font>
    <font>
      <sz val="8"/>
      <color rgb="FF003300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164" fontId="2" fillId="0" borderId="0" xfId="0" quotePrefix="1" applyNumberFormat="1" applyFont="1" applyAlignment="1">
      <alignment horizontal="left"/>
    </xf>
    <xf numFmtId="164" fontId="0" fillId="0" borderId="0" xfId="0" quotePrefix="1" applyNumberFormat="1" applyAlignment="1">
      <alignment horizontal="left"/>
    </xf>
    <xf numFmtId="0" fontId="2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49" fontId="15" fillId="0" borderId="0" xfId="0" applyNumberFormat="1" applyFont="1"/>
    <xf numFmtId="165" fontId="15" fillId="0" borderId="0" xfId="0" applyNumberFormat="1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6" fillId="0" borderId="1" xfId="0" applyFont="1" applyBorder="1"/>
    <xf numFmtId="0" fontId="8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0" fillId="0" borderId="2" xfId="0" applyBorder="1"/>
    <xf numFmtId="0" fontId="6" fillId="0" borderId="2" xfId="0" applyFont="1" applyBorder="1"/>
    <xf numFmtId="0" fontId="6" fillId="0" borderId="3" xfId="0" applyFont="1" applyBorder="1"/>
    <xf numFmtId="0" fontId="4" fillId="0" borderId="4" xfId="0" applyFont="1" applyBorder="1"/>
    <xf numFmtId="0" fontId="0" fillId="0" borderId="4" xfId="0" applyBorder="1"/>
    <xf numFmtId="0" fontId="6" fillId="0" borderId="4" xfId="0" applyFont="1" applyBorder="1"/>
    <xf numFmtId="0" fontId="15" fillId="0" borderId="4" xfId="0" applyFont="1" applyBorder="1"/>
    <xf numFmtId="0" fontId="1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2" fontId="15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5" fontId="15" fillId="0" borderId="0" xfId="0" applyNumberFormat="1" applyFont="1" applyAlignment="1">
      <alignment horizontal="left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4" fillId="0" borderId="5" xfId="0" applyFont="1" applyBorder="1"/>
    <xf numFmtId="0" fontId="4" fillId="0" borderId="5" xfId="0" applyFont="1" applyBorder="1"/>
    <xf numFmtId="0" fontId="15" fillId="0" borderId="5" xfId="0" applyFont="1" applyBorder="1"/>
    <xf numFmtId="0" fontId="6" fillId="0" borderId="5" xfId="0" applyFont="1" applyBorder="1"/>
    <xf numFmtId="0" fontId="14" fillId="0" borderId="0" xfId="0" quotePrefix="1" applyFont="1"/>
    <xf numFmtId="2" fontId="4" fillId="0" borderId="0" xfId="0" applyNumberFormat="1" applyFont="1" applyAlignment="1">
      <alignment horizontal="left"/>
    </xf>
    <xf numFmtId="40" fontId="14" fillId="0" borderId="0" xfId="0" applyNumberFormat="1" applyFont="1"/>
    <xf numFmtId="0" fontId="14" fillId="0" borderId="0" xfId="0" quotePrefix="1" applyFont="1" applyAlignment="1">
      <alignment horizontal="right"/>
    </xf>
    <xf numFmtId="2" fontId="4" fillId="0" borderId="0" xfId="0" applyNumberFormat="1" applyFont="1" applyAlignment="1">
      <alignment horizontal="center"/>
    </xf>
    <xf numFmtId="40" fontId="15" fillId="0" borderId="0" xfId="0" applyNumberFormat="1" applyFont="1"/>
    <xf numFmtId="40" fontId="15" fillId="0" borderId="4" xfId="0" applyNumberFormat="1" applyFont="1" applyBorder="1"/>
    <xf numFmtId="40" fontId="14" fillId="0" borderId="5" xfId="0" applyNumberFormat="1" applyFont="1" applyBorder="1"/>
    <xf numFmtId="40" fontId="15" fillId="0" borderId="5" xfId="0" applyNumberFormat="1" applyFont="1" applyBorder="1"/>
    <xf numFmtId="0" fontId="14" fillId="0" borderId="6" xfId="0" applyFont="1" applyBorder="1"/>
    <xf numFmtId="0" fontId="15" fillId="0" borderId="6" xfId="0" applyFont="1" applyBorder="1"/>
    <xf numFmtId="0" fontId="6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40" fontId="18" fillId="0" borderId="0" xfId="0" applyNumberFormat="1" applyFont="1"/>
    <xf numFmtId="0" fontId="23" fillId="0" borderId="0" xfId="0" applyFont="1"/>
    <xf numFmtId="166" fontId="23" fillId="0" borderId="0" xfId="0" applyNumberFormat="1" applyFont="1"/>
    <xf numFmtId="0" fontId="18" fillId="0" borderId="5" xfId="0" applyFont="1" applyBorder="1" applyAlignment="1">
      <alignment horizontal="left"/>
    </xf>
    <xf numFmtId="166" fontId="24" fillId="0" borderId="5" xfId="0" applyNumberFormat="1" applyFont="1" applyBorder="1"/>
    <xf numFmtId="166" fontId="24" fillId="0" borderId="0" xfId="0" applyNumberFormat="1" applyFont="1"/>
    <xf numFmtId="166" fontId="24" fillId="0" borderId="5" xfId="0" quotePrefix="1" applyNumberFormat="1" applyFont="1" applyBorder="1"/>
    <xf numFmtId="0" fontId="18" fillId="0" borderId="7" xfId="0" applyFont="1" applyBorder="1" applyAlignment="1">
      <alignment horizontal="left"/>
    </xf>
    <xf numFmtId="166" fontId="24" fillId="0" borderId="7" xfId="0" applyNumberFormat="1" applyFont="1" applyBorder="1"/>
    <xf numFmtId="0" fontId="25" fillId="0" borderId="0" xfId="0" applyFont="1"/>
    <xf numFmtId="0" fontId="22" fillId="0" borderId="7" xfId="0" applyFont="1" applyBorder="1" applyAlignment="1">
      <alignment horizontal="left"/>
    </xf>
    <xf numFmtId="0" fontId="6" fillId="0" borderId="7" xfId="0" applyFont="1" applyBorder="1"/>
    <xf numFmtId="0" fontId="18" fillId="0" borderId="7" xfId="0" applyFont="1" applyBorder="1"/>
    <xf numFmtId="166" fontId="18" fillId="0" borderId="0" xfId="0" applyNumberFormat="1" applyFont="1"/>
    <xf numFmtId="0" fontId="26" fillId="0" borderId="7" xfId="0" applyFont="1" applyBorder="1" applyAlignment="1">
      <alignment horizontal="left"/>
    </xf>
    <xf numFmtId="0" fontId="22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542925</xdr:colOff>
      <xdr:row>3</xdr:row>
      <xdr:rowOff>57150</xdr:rowOff>
    </xdr:to>
    <xdr:pic>
      <xdr:nvPicPr>
        <xdr:cNvPr id="2" name="Picture 9" descr="Screen Clipping">
          <a:extLst>
            <a:ext uri="{FF2B5EF4-FFF2-40B4-BE49-F238E27FC236}">
              <a16:creationId xmlns:a16="http://schemas.microsoft.com/office/drawing/2014/main" id="{B4D5029B-8C54-4FFF-B294-EF1292E97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28385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4C06-D595-47EC-A60E-F402DAE008F4}">
  <sheetPr codeName="Sheet1491">
    <pageSetUpPr fitToPage="1"/>
  </sheetPr>
  <dimension ref="A1:AH62"/>
  <sheetViews>
    <sheetView tabSelected="1" zoomScaleNormal="100" workbookViewId="0">
      <selection activeCell="U57" sqref="U57"/>
    </sheetView>
  </sheetViews>
  <sheetFormatPr defaultRowHeight="13.2" x14ac:dyDescent="0.25"/>
  <cols>
    <col min="1" max="1" width="5.6640625" style="8" customWidth="1"/>
    <col min="2" max="2" width="1.6640625" style="8" customWidth="1"/>
    <col min="3" max="3" width="3.6640625" style="8" customWidth="1"/>
    <col min="4" max="4" width="11.88671875" style="8" customWidth="1"/>
    <col min="5" max="5" width="3.6640625" style="8" customWidth="1"/>
    <col min="6" max="6" width="4.6640625" style="8" customWidth="1"/>
    <col min="7" max="7" width="6.33203125" style="8" customWidth="1"/>
    <col min="8" max="8" width="3" style="8" bestFit="1" customWidth="1"/>
    <col min="9" max="9" width="6.6640625" style="8" customWidth="1"/>
    <col min="10" max="10" width="5.33203125" style="8" customWidth="1"/>
    <col min="11" max="11" width="3.6640625" style="8" customWidth="1"/>
    <col min="12" max="12" width="7.6640625" style="8" customWidth="1"/>
    <col min="13" max="13" width="3" style="8" customWidth="1"/>
    <col min="14" max="14" width="10.6640625" style="8" customWidth="1"/>
    <col min="15" max="15" width="3.5546875" style="8" customWidth="1"/>
    <col min="16" max="16" width="3" customWidth="1"/>
    <col min="17" max="17" width="4.33203125" customWidth="1"/>
    <col min="18" max="18" width="4.6640625" customWidth="1"/>
    <col min="19" max="19" width="1.6640625" customWidth="1"/>
    <col min="20" max="20" width="3.6640625" customWidth="1"/>
    <col min="21" max="21" width="11.88671875" customWidth="1"/>
    <col min="22" max="22" width="3.6640625" customWidth="1"/>
    <col min="23" max="23" width="4.6640625" customWidth="1"/>
    <col min="24" max="24" width="8" customWidth="1"/>
    <col min="25" max="25" width="3" bestFit="1" customWidth="1"/>
    <col min="26" max="26" width="6.5546875" customWidth="1"/>
    <col min="27" max="27" width="6.88671875" customWidth="1"/>
    <col min="28" max="28" width="3.6640625" customWidth="1"/>
    <col min="29" max="29" width="7.6640625" customWidth="1"/>
    <col min="30" max="30" width="3" customWidth="1"/>
    <col min="31" max="31" width="10.6640625" customWidth="1"/>
    <col min="32" max="33" width="1.6640625" customWidth="1"/>
    <col min="34" max="34" width="5.6640625" customWidth="1"/>
  </cols>
  <sheetData>
    <row r="1" spans="1:34" ht="19.5" customHeight="1" x14ac:dyDescent="0.35">
      <c r="I1" s="9" t="s">
        <v>29</v>
      </c>
      <c r="R1" s="10"/>
      <c r="S1" s="10"/>
      <c r="T1" s="10"/>
      <c r="U1" s="10"/>
      <c r="V1" s="10"/>
      <c r="W1" s="10"/>
      <c r="X1" s="10"/>
      <c r="Y1" s="10"/>
      <c r="Z1" s="11" t="s">
        <v>29</v>
      </c>
      <c r="AA1" s="10"/>
      <c r="AB1" s="10"/>
      <c r="AC1" s="10"/>
      <c r="AD1" s="10"/>
      <c r="AE1" s="10"/>
      <c r="AF1" s="10"/>
      <c r="AG1" s="10"/>
      <c r="AH1" s="12"/>
    </row>
    <row r="2" spans="1:34" ht="12.75" customHeight="1" x14ac:dyDescent="0.25">
      <c r="I2" s="13" t="s">
        <v>32</v>
      </c>
      <c r="R2" s="10"/>
      <c r="S2" s="10"/>
      <c r="T2" s="10"/>
      <c r="U2" s="10"/>
      <c r="V2" s="10"/>
      <c r="W2" s="10"/>
      <c r="X2" s="10"/>
      <c r="Y2" s="10"/>
      <c r="Z2" s="14" t="s">
        <v>32</v>
      </c>
      <c r="AA2" s="10"/>
      <c r="AB2" s="10"/>
      <c r="AC2" s="10"/>
      <c r="AD2" s="10"/>
      <c r="AE2" s="10"/>
      <c r="AF2" s="10"/>
      <c r="AG2" s="10"/>
      <c r="AH2" s="12"/>
    </row>
    <row r="3" spans="1:34" ht="12.75" customHeight="1" x14ac:dyDescent="0.25">
      <c r="I3" s="13" t="s">
        <v>33</v>
      </c>
      <c r="R3" s="10"/>
      <c r="S3" s="10"/>
      <c r="T3" s="10"/>
      <c r="U3" s="10"/>
      <c r="V3" s="10"/>
      <c r="W3" s="10"/>
      <c r="X3" s="10"/>
      <c r="Y3" s="10"/>
      <c r="Z3" s="14" t="s">
        <v>33</v>
      </c>
      <c r="AA3" s="10"/>
      <c r="AB3" s="10"/>
      <c r="AC3" s="10"/>
      <c r="AD3" s="10"/>
      <c r="AE3" s="10"/>
      <c r="AF3" s="10"/>
      <c r="AG3" s="10"/>
      <c r="AH3" s="12"/>
    </row>
    <row r="4" spans="1:34" ht="12.75" customHeight="1" x14ac:dyDescent="0.25"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2"/>
    </row>
    <row r="5" spans="1:34" ht="12.75" customHeight="1" x14ac:dyDescent="0.25">
      <c r="I5" s="15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2"/>
    </row>
    <row r="6" spans="1:34" ht="12.75" customHeight="1" x14ac:dyDescent="0.25"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2"/>
    </row>
    <row r="7" spans="1:34" ht="15" customHeight="1" x14ac:dyDescent="0.25">
      <c r="C7" s="16" t="s">
        <v>34</v>
      </c>
      <c r="L7" s="17" t="s">
        <v>35</v>
      </c>
      <c r="R7" s="10"/>
      <c r="S7" s="10"/>
      <c r="T7" s="18" t="str">
        <f t="shared" ref="T7:T12" si="0">C7</f>
        <v>Sabah Rubber Industry Board</v>
      </c>
      <c r="U7" s="10"/>
      <c r="V7" s="10"/>
      <c r="W7" s="10"/>
      <c r="X7" s="10"/>
      <c r="Y7" s="10"/>
      <c r="Z7" s="10"/>
      <c r="AA7" s="10"/>
      <c r="AB7" s="10"/>
      <c r="AC7" s="19" t="s">
        <v>35</v>
      </c>
      <c r="AD7" s="19"/>
      <c r="AE7" s="19"/>
      <c r="AF7" s="10"/>
      <c r="AG7" s="10"/>
      <c r="AH7" s="12"/>
    </row>
    <row r="8" spans="1:34" x14ac:dyDescent="0.25">
      <c r="C8" s="20" t="s">
        <v>36</v>
      </c>
      <c r="R8" s="10"/>
      <c r="S8" s="10"/>
      <c r="T8" s="21" t="str">
        <f t="shared" si="0"/>
        <v>Level 3, Wisma Pertanian Sabah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2"/>
    </row>
    <row r="9" spans="1:34" x14ac:dyDescent="0.25">
      <c r="C9" s="20" t="s">
        <v>37</v>
      </c>
      <c r="L9" s="20" t="s">
        <v>38</v>
      </c>
      <c r="M9" s="22" t="s">
        <v>39</v>
      </c>
      <c r="R9" s="10"/>
      <c r="S9" s="10"/>
      <c r="T9" s="21" t="str">
        <f t="shared" si="0"/>
        <v>Jalan Tasik</v>
      </c>
      <c r="U9" s="10"/>
      <c r="V9" s="10"/>
      <c r="W9" s="10"/>
      <c r="X9" s="10"/>
      <c r="Y9" s="10"/>
      <c r="Z9" s="10"/>
      <c r="AA9" s="10"/>
      <c r="AB9" s="10"/>
      <c r="AC9" s="21" t="s">
        <v>38</v>
      </c>
      <c r="AD9" s="23" t="str">
        <f>M9</f>
        <v>DN202609-xx</v>
      </c>
      <c r="AE9" s="23"/>
      <c r="AF9" s="10"/>
      <c r="AG9" s="10"/>
      <c r="AH9" s="12"/>
    </row>
    <row r="10" spans="1:34" x14ac:dyDescent="0.25">
      <c r="C10" s="20" t="s">
        <v>40</v>
      </c>
      <c r="R10" s="10"/>
      <c r="S10" s="10"/>
      <c r="T10" s="21" t="str">
        <f t="shared" si="0"/>
        <v>Luyang (off Jalan Maktab Gaya)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2"/>
    </row>
    <row r="11" spans="1:34" x14ac:dyDescent="0.25">
      <c r="C11" s="20" t="s">
        <v>41</v>
      </c>
      <c r="R11" s="10"/>
      <c r="S11" s="10"/>
      <c r="T11" s="21" t="str">
        <f t="shared" si="0"/>
        <v>Kota Kinabalu, Sabah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2"/>
    </row>
    <row r="12" spans="1:34" x14ac:dyDescent="0.25">
      <c r="C12" s="20" t="s">
        <v>42</v>
      </c>
      <c r="L12" s="24" t="s">
        <v>43</v>
      </c>
      <c r="M12" s="24">
        <v>29</v>
      </c>
      <c r="N12" s="25">
        <v>46290</v>
      </c>
      <c r="R12" s="10"/>
      <c r="S12" s="10"/>
      <c r="T12" s="21" t="str">
        <f t="shared" si="0"/>
        <v>East Malaysia</v>
      </c>
      <c r="U12" s="10"/>
      <c r="V12" s="10"/>
      <c r="W12" s="10"/>
      <c r="X12" s="10"/>
      <c r="Y12" s="10"/>
      <c r="Z12" s="10"/>
      <c r="AA12" s="10"/>
      <c r="AB12" s="10"/>
      <c r="AC12" s="26" t="s">
        <v>43</v>
      </c>
      <c r="AD12" s="27">
        <f>M12</f>
        <v>29</v>
      </c>
      <c r="AE12" s="28">
        <f>N12</f>
        <v>46290</v>
      </c>
      <c r="AF12" s="10"/>
      <c r="AG12" s="10"/>
      <c r="AH12" s="12"/>
    </row>
    <row r="13" spans="1:34" ht="12.75" customHeight="1" x14ac:dyDescent="0.25"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2"/>
    </row>
    <row r="14" spans="1:34" ht="12.75" customHeight="1" thickBot="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O14" s="29"/>
      <c r="P14" s="30"/>
      <c r="Q14" s="30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10"/>
      <c r="AE14" s="10"/>
      <c r="AF14" s="31"/>
      <c r="AG14" s="31"/>
      <c r="AH14" s="32"/>
    </row>
    <row r="15" spans="1:34" ht="12.75" customHeight="1" x14ac:dyDescent="0.25">
      <c r="A15" s="33"/>
      <c r="M15" s="34"/>
      <c r="N15" s="34"/>
      <c r="P15" s="35"/>
      <c r="R15" s="36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37"/>
      <c r="AE15" s="37"/>
      <c r="AF15" s="10"/>
      <c r="AG15" s="36"/>
      <c r="AH15" s="12"/>
    </row>
    <row r="16" spans="1:34" ht="12.75" customHeight="1" x14ac:dyDescent="0.25">
      <c r="A16" s="38"/>
      <c r="C16" s="22" t="s">
        <v>44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39"/>
      <c r="R16" s="40"/>
      <c r="S16" s="10"/>
      <c r="T16" s="21" t="str">
        <f t="shared" ref="T16:T23" si="1">C16</f>
        <v>Your Invoice No. 132xx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41"/>
      <c r="AH16" s="12"/>
    </row>
    <row r="17" spans="1:34" ht="12.75" customHeight="1" x14ac:dyDescent="0.25">
      <c r="A17" s="38"/>
      <c r="C17" s="42" t="s">
        <v>45</v>
      </c>
      <c r="D17" s="43"/>
      <c r="E17" s="43"/>
      <c r="F17" s="43"/>
      <c r="G17" s="43"/>
      <c r="I17" s="22" t="s">
        <v>46</v>
      </c>
      <c r="K17" s="44">
        <v>283230</v>
      </c>
      <c r="L17" s="44"/>
      <c r="M17" s="20"/>
      <c r="N17" s="20"/>
      <c r="O17" s="20"/>
      <c r="P17" s="39"/>
      <c r="R17" s="40"/>
      <c r="S17" s="10"/>
      <c r="T17" s="23" t="str">
        <f t="shared" si="1"/>
        <v>Bridgestone Singapore Pte Ltd</v>
      </c>
      <c r="U17" s="23"/>
      <c r="V17" s="23"/>
      <c r="W17" s="23"/>
      <c r="X17" s="23"/>
      <c r="Z17" s="20" t="str">
        <f>I17</f>
        <v>Contract No.</v>
      </c>
      <c r="AB17" s="44">
        <f>K17</f>
        <v>283230</v>
      </c>
      <c r="AC17" s="44"/>
      <c r="AD17" s="21"/>
      <c r="AE17" s="21"/>
      <c r="AF17" s="21"/>
      <c r="AG17" s="41"/>
      <c r="AH17" s="12"/>
    </row>
    <row r="18" spans="1:34" ht="12.75" customHeight="1" x14ac:dyDescent="0.25">
      <c r="A18" s="38"/>
      <c r="C18" s="20">
        <v>90</v>
      </c>
      <c r="D18" s="43" t="s">
        <v>47</v>
      </c>
      <c r="E18" s="43"/>
      <c r="F18" s="43"/>
      <c r="G18" s="43"/>
      <c r="H18" s="43"/>
      <c r="I18" s="45">
        <f>C18/16*20.16</f>
        <v>113.4</v>
      </c>
      <c r="J18" s="20" t="s">
        <v>48</v>
      </c>
      <c r="K18" s="24"/>
      <c r="L18" s="24" t="s">
        <v>49</v>
      </c>
      <c r="M18" s="46"/>
      <c r="N18" s="20"/>
      <c r="O18" s="20"/>
      <c r="P18" s="39"/>
      <c r="R18" s="40"/>
      <c r="S18" s="10"/>
      <c r="T18" s="21">
        <f>C18</f>
        <v>90</v>
      </c>
      <c r="U18" s="21" t="str">
        <f>D18</f>
        <v>Metal  Boxes (MB5)</v>
      </c>
      <c r="V18" s="21"/>
      <c r="W18" s="21"/>
      <c r="Z18" s="47">
        <f>I18</f>
        <v>113.4</v>
      </c>
      <c r="AA18" s="20" t="s">
        <v>50</v>
      </c>
      <c r="AB18" s="20"/>
      <c r="AC18" s="43" t="str">
        <f>L18</f>
        <v>SMR 20 Rubber</v>
      </c>
      <c r="AD18" s="43"/>
      <c r="AE18" s="43"/>
      <c r="AF18" s="21"/>
      <c r="AG18" s="41"/>
      <c r="AH18" s="12"/>
    </row>
    <row r="19" spans="1:34" ht="12.75" customHeight="1" x14ac:dyDescent="0.25">
      <c r="A19" s="38"/>
      <c r="C19" s="42" t="s">
        <v>51</v>
      </c>
      <c r="D19" s="43"/>
      <c r="E19" s="43"/>
      <c r="F19" s="43"/>
      <c r="G19" s="22" t="s">
        <v>52</v>
      </c>
      <c r="H19" s="20"/>
      <c r="I19" s="20"/>
      <c r="J19" s="20">
        <v>22</v>
      </c>
      <c r="K19" s="48">
        <v>46290</v>
      </c>
      <c r="L19" s="48"/>
      <c r="M19" s="20"/>
      <c r="N19" s="20"/>
      <c r="O19" s="20"/>
      <c r="P19" s="39"/>
      <c r="R19" s="40"/>
      <c r="S19" s="10"/>
      <c r="T19" s="26" t="str">
        <f>C19</f>
        <v>Ex Jade Star</v>
      </c>
      <c r="U19" s="26"/>
      <c r="V19" s="49"/>
      <c r="W19" s="49"/>
      <c r="X19" s="21" t="str">
        <f>G19</f>
        <v>Voy 2610W    Arrd</v>
      </c>
      <c r="Y19" s="21"/>
      <c r="Z19" s="21"/>
      <c r="AA19" s="21">
        <f>J19</f>
        <v>22</v>
      </c>
      <c r="AB19" s="50">
        <f>K19</f>
        <v>46290</v>
      </c>
      <c r="AC19" s="50"/>
      <c r="AD19" s="21"/>
      <c r="AE19" s="21"/>
      <c r="AF19" s="21"/>
      <c r="AG19" s="41"/>
      <c r="AH19" s="12"/>
    </row>
    <row r="20" spans="1:34" ht="12.75" customHeight="1" x14ac:dyDescent="0.25">
      <c r="A20" s="38"/>
      <c r="C20" s="22" t="s">
        <v>53</v>
      </c>
      <c r="D20" s="20"/>
      <c r="E20" s="20"/>
      <c r="F20" s="20"/>
      <c r="G20" s="20"/>
      <c r="H20" s="24"/>
      <c r="I20" s="51" t="s">
        <v>54</v>
      </c>
      <c r="J20" s="20" t="s">
        <v>55</v>
      </c>
      <c r="M20" s="20"/>
      <c r="N20" s="20"/>
      <c r="O20" s="20"/>
      <c r="P20" s="39"/>
      <c r="R20" s="40"/>
      <c r="S20" s="10"/>
      <c r="T20" s="21" t="str">
        <f>C20</f>
        <v>B/L No. JJST2610W-BKI01</v>
      </c>
      <c r="U20" s="21"/>
      <c r="V20" s="21"/>
      <c r="W20" s="21"/>
      <c r="X20" s="21"/>
      <c r="Z20" s="52" t="str">
        <f>I20</f>
        <v>(179/26</v>
      </c>
      <c r="AA20" s="21" t="str">
        <f>J20</f>
        <v>Tuaran)</v>
      </c>
      <c r="AB20" s="10"/>
      <c r="AC20" s="21"/>
      <c r="AD20" s="21"/>
      <c r="AE20" s="21"/>
      <c r="AF20" s="21"/>
      <c r="AG20" s="41"/>
      <c r="AH20" s="12"/>
    </row>
    <row r="21" spans="1:34" ht="12.75" customHeight="1" x14ac:dyDescent="0.25">
      <c r="A21" s="38"/>
      <c r="C21" s="22" t="s">
        <v>56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39"/>
      <c r="R21" s="40"/>
      <c r="S21" s="10"/>
      <c r="T21" s="21" t="str">
        <f t="shared" si="1"/>
        <v>Shipped per Zim Mount Vinson Voy 12E</v>
      </c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41"/>
      <c r="AH21" s="12"/>
    </row>
    <row r="22" spans="1:34" ht="12.75" customHeight="1" x14ac:dyDescent="0.25">
      <c r="A22" s="38"/>
      <c r="C22" s="42" t="s">
        <v>57</v>
      </c>
      <c r="D22" s="42"/>
      <c r="E22" s="42"/>
      <c r="F22" s="42"/>
      <c r="G22" s="20"/>
      <c r="H22" s="20"/>
      <c r="I22" s="20"/>
      <c r="J22" s="20"/>
      <c r="K22" s="20"/>
      <c r="L22" s="20"/>
      <c r="M22" s="20"/>
      <c r="N22" s="20"/>
      <c r="O22" s="20"/>
      <c r="P22" s="39"/>
      <c r="R22" s="40"/>
      <c r="S22" s="10"/>
      <c r="T22" s="21" t="str">
        <f t="shared" si="1"/>
        <v>To Savannah, USA</v>
      </c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41"/>
      <c r="AH22" s="12"/>
    </row>
    <row r="23" spans="1:34" ht="12.75" customHeight="1" x14ac:dyDescent="0.25">
      <c r="A23" s="38"/>
      <c r="C23" s="20" t="s">
        <v>58</v>
      </c>
      <c r="D23" s="20"/>
      <c r="E23" s="20">
        <v>29</v>
      </c>
      <c r="F23" s="48">
        <v>46290</v>
      </c>
      <c r="G23" s="48"/>
      <c r="H23" s="20"/>
      <c r="I23" s="20"/>
      <c r="J23" s="20"/>
      <c r="K23" s="20"/>
      <c r="L23" s="20"/>
      <c r="M23" s="20"/>
      <c r="N23" s="20"/>
      <c r="O23" s="20"/>
      <c r="P23" s="39"/>
      <c r="R23" s="40"/>
      <c r="S23" s="10"/>
      <c r="T23" s="21" t="str">
        <f t="shared" si="1"/>
        <v>B/L dated</v>
      </c>
      <c r="U23" s="21"/>
      <c r="V23" s="21">
        <f>E23</f>
        <v>29</v>
      </c>
      <c r="W23" s="50">
        <f>F23</f>
        <v>46290</v>
      </c>
      <c r="X23" s="50"/>
      <c r="Y23" s="21"/>
      <c r="Z23" s="21"/>
      <c r="AA23" s="21"/>
      <c r="AB23" s="21"/>
      <c r="AC23" s="21"/>
      <c r="AD23" s="21"/>
      <c r="AE23" s="21"/>
      <c r="AF23" s="21"/>
      <c r="AG23" s="41"/>
      <c r="AH23" s="12"/>
    </row>
    <row r="24" spans="1:34" ht="10.199999999999999" customHeight="1" x14ac:dyDescent="0.25">
      <c r="A24" s="38"/>
      <c r="C24" s="53"/>
      <c r="D24" s="54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20"/>
      <c r="P24" s="39"/>
      <c r="R24" s="40"/>
      <c r="S24" s="10"/>
      <c r="T24" s="55"/>
      <c r="U24" s="56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21"/>
      <c r="AG24" s="41"/>
      <c r="AH24" s="12"/>
    </row>
    <row r="25" spans="1:34" x14ac:dyDescent="0.25">
      <c r="A25" s="38"/>
      <c r="C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39"/>
      <c r="R25" s="40"/>
      <c r="S25" s="10"/>
      <c r="T25" s="21"/>
      <c r="U25" s="10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41"/>
      <c r="AH25" s="12"/>
    </row>
    <row r="26" spans="1:34" x14ac:dyDescent="0.25">
      <c r="A26" s="38"/>
      <c r="C26" s="20" t="s">
        <v>59</v>
      </c>
      <c r="E26" s="20"/>
      <c r="F26" s="20"/>
      <c r="G26" s="20"/>
      <c r="H26" s="20"/>
      <c r="I26" s="57" t="s">
        <v>60</v>
      </c>
      <c r="J26" s="58">
        <v>54</v>
      </c>
      <c r="K26" s="8" t="s">
        <v>61</v>
      </c>
      <c r="L26" s="20"/>
      <c r="M26" s="20" t="s">
        <v>62</v>
      </c>
      <c r="N26" s="59">
        <f>I18*J26</f>
        <v>6123.6</v>
      </c>
      <c r="O26" s="59"/>
      <c r="P26" s="39"/>
      <c r="R26" s="40"/>
      <c r="S26" s="10"/>
      <c r="T26" s="21" t="str">
        <f>C26</f>
        <v>Transhipment Charge</v>
      </c>
      <c r="U26" s="10"/>
      <c r="V26" s="21"/>
      <c r="W26" s="21"/>
      <c r="X26" s="21"/>
      <c r="Y26" s="21"/>
      <c r="Z26" s="60" t="s">
        <v>60</v>
      </c>
      <c r="AA26" s="61">
        <f>J26</f>
        <v>54</v>
      </c>
      <c r="AB26" s="8" t="s">
        <v>61</v>
      </c>
      <c r="AC26" s="21"/>
      <c r="AD26" s="21" t="s">
        <v>62</v>
      </c>
      <c r="AE26" s="62">
        <f>N26</f>
        <v>6123.6</v>
      </c>
      <c r="AF26" s="62"/>
      <c r="AG26" s="63"/>
      <c r="AH26" s="12"/>
    </row>
    <row r="27" spans="1:34" x14ac:dyDescent="0.25">
      <c r="A27" s="38"/>
      <c r="C27" s="20"/>
      <c r="E27" s="20"/>
      <c r="F27" s="20"/>
      <c r="G27" s="20"/>
      <c r="H27" s="20"/>
      <c r="L27" s="20"/>
      <c r="M27" s="20"/>
      <c r="N27" s="59"/>
      <c r="O27" s="59"/>
      <c r="P27" s="39"/>
      <c r="R27" s="40"/>
      <c r="S27" s="10"/>
      <c r="T27" s="21"/>
      <c r="U27" s="10"/>
      <c r="V27" s="21"/>
      <c r="W27" s="21"/>
      <c r="X27" s="21"/>
      <c r="Y27" s="21"/>
      <c r="Z27" s="21"/>
      <c r="AA27" s="21"/>
      <c r="AB27" s="10"/>
      <c r="AC27" s="21"/>
      <c r="AD27" s="21"/>
      <c r="AE27" s="62"/>
      <c r="AF27" s="62"/>
      <c r="AG27" s="63"/>
      <c r="AH27" s="12"/>
    </row>
    <row r="28" spans="1:34" x14ac:dyDescent="0.25">
      <c r="A28" s="38"/>
      <c r="C28" s="20"/>
      <c r="E28" s="20"/>
      <c r="F28" s="20"/>
      <c r="G28" s="20"/>
      <c r="H28" s="20"/>
      <c r="I28" s="20"/>
      <c r="L28" s="20"/>
      <c r="M28" s="20"/>
      <c r="N28" s="59"/>
      <c r="O28" s="59"/>
      <c r="P28" s="39"/>
      <c r="R28" s="40"/>
      <c r="S28" s="10"/>
      <c r="T28" s="21"/>
      <c r="U28" s="10"/>
      <c r="V28" s="21"/>
      <c r="W28" s="21"/>
      <c r="X28" s="21"/>
      <c r="Y28" s="21"/>
      <c r="Z28" s="21"/>
      <c r="AA28" s="10"/>
      <c r="AB28" s="10"/>
      <c r="AC28" s="21"/>
      <c r="AD28" s="21"/>
      <c r="AE28" s="62"/>
      <c r="AF28" s="62"/>
      <c r="AG28" s="63"/>
      <c r="AH28" s="12"/>
    </row>
    <row r="29" spans="1:34" x14ac:dyDescent="0.25">
      <c r="A29" s="38"/>
      <c r="D29" s="20"/>
      <c r="E29" s="20"/>
      <c r="F29" s="20"/>
      <c r="G29" s="20"/>
      <c r="H29" s="20"/>
      <c r="I29" s="20"/>
      <c r="J29" s="20"/>
      <c r="K29" s="20"/>
      <c r="L29" s="20"/>
      <c r="M29" s="53"/>
      <c r="N29" s="64"/>
      <c r="O29" s="59"/>
      <c r="P29" s="39"/>
      <c r="R29" s="40"/>
      <c r="S29" s="10"/>
      <c r="T29" s="10"/>
      <c r="U29" s="21"/>
      <c r="V29" s="21"/>
      <c r="W29" s="21"/>
      <c r="X29" s="21"/>
      <c r="Y29" s="21"/>
      <c r="Z29" s="21"/>
      <c r="AA29" s="21"/>
      <c r="AB29" s="21"/>
      <c r="AC29" s="21"/>
      <c r="AD29" s="55"/>
      <c r="AE29" s="65"/>
      <c r="AF29" s="62"/>
      <c r="AG29" s="63"/>
      <c r="AH29" s="12"/>
    </row>
    <row r="30" spans="1:34" ht="10.199999999999999" customHeight="1" x14ac:dyDescent="0.25">
      <c r="A30" s="38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9"/>
      <c r="O30" s="59"/>
      <c r="P30" s="39"/>
      <c r="R30" s="40"/>
      <c r="S30" s="10"/>
      <c r="T30" s="10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62"/>
      <c r="AF30" s="62"/>
      <c r="AG30" s="63"/>
      <c r="AH30" s="12"/>
    </row>
    <row r="31" spans="1:34" x14ac:dyDescent="0.25">
      <c r="A31" s="38"/>
      <c r="D31" s="20"/>
      <c r="E31" s="20"/>
      <c r="F31" s="20"/>
      <c r="G31" s="20"/>
      <c r="H31" s="20"/>
      <c r="I31" s="20"/>
      <c r="J31" s="20"/>
      <c r="K31" s="20"/>
      <c r="L31" s="20"/>
      <c r="M31" s="20" t="s">
        <v>62</v>
      </c>
      <c r="N31" s="59">
        <f>SUM(N26:N28)</f>
        <v>6123.6</v>
      </c>
      <c r="O31" s="59"/>
      <c r="P31" s="39"/>
      <c r="R31" s="40"/>
      <c r="S31" s="10"/>
      <c r="T31" s="10"/>
      <c r="U31" s="21"/>
      <c r="V31" s="21"/>
      <c r="W31" s="21"/>
      <c r="X31" s="21"/>
      <c r="Y31" s="21"/>
      <c r="Z31" s="21"/>
      <c r="AA31" s="21"/>
      <c r="AB31" s="21"/>
      <c r="AC31" s="21"/>
      <c r="AD31" s="21" t="s">
        <v>62</v>
      </c>
      <c r="AE31" s="62">
        <f>SUM(AE26:AE28)</f>
        <v>6123.6</v>
      </c>
      <c r="AF31" s="62"/>
      <c r="AG31" s="63"/>
      <c r="AH31" s="12"/>
    </row>
    <row r="32" spans="1:34" ht="10.199999999999999" customHeight="1" thickBot="1" x14ac:dyDescent="0.3">
      <c r="A32" s="38"/>
      <c r="D32" s="20"/>
      <c r="E32" s="20"/>
      <c r="F32" s="20"/>
      <c r="G32" s="20"/>
      <c r="H32" s="20"/>
      <c r="I32" s="20"/>
      <c r="J32" s="20"/>
      <c r="K32" s="20"/>
      <c r="L32" s="20"/>
      <c r="M32" s="66"/>
      <c r="N32" s="66"/>
      <c r="O32" s="20"/>
      <c r="P32" s="39"/>
      <c r="R32" s="40"/>
      <c r="S32" s="10"/>
      <c r="T32" s="10"/>
      <c r="U32" s="21"/>
      <c r="V32" s="21"/>
      <c r="W32" s="21"/>
      <c r="X32" s="21"/>
      <c r="Y32" s="21"/>
      <c r="Z32" s="21"/>
      <c r="AA32" s="21"/>
      <c r="AB32" s="21"/>
      <c r="AC32" s="21"/>
      <c r="AD32" s="67"/>
      <c r="AE32" s="67"/>
      <c r="AF32" s="21"/>
      <c r="AG32" s="41"/>
      <c r="AH32" s="12"/>
    </row>
    <row r="33" spans="1:34" ht="10.199999999999999" customHeight="1" thickTop="1" x14ac:dyDescent="0.25">
      <c r="A33" s="38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39"/>
      <c r="R33" s="40"/>
      <c r="S33" s="10"/>
      <c r="T33" s="10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41"/>
      <c r="AH33" s="12"/>
    </row>
    <row r="34" spans="1:34" ht="12.75" customHeight="1" x14ac:dyDescent="0.25">
      <c r="A34" s="38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39"/>
      <c r="R34" s="40"/>
      <c r="S34" s="10"/>
      <c r="T34" s="10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41"/>
      <c r="AH34" s="12"/>
    </row>
    <row r="35" spans="1:34" x14ac:dyDescent="0.25">
      <c r="A35" s="38"/>
      <c r="C35" s="20" t="s">
        <v>63</v>
      </c>
      <c r="E35" s="42" t="s">
        <v>64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39"/>
      <c r="R35" s="40"/>
      <c r="S35" s="10"/>
      <c r="T35" s="21" t="str">
        <f>C35</f>
        <v>Singapore Dollars</v>
      </c>
      <c r="U35" s="10"/>
      <c r="V35" s="23" t="str">
        <f>E35</f>
        <v>Six Thousand One Hundred Twenty Three and cents Sixty only</v>
      </c>
      <c r="W35" s="23"/>
      <c r="X35" s="23"/>
      <c r="Y35" s="23"/>
      <c r="Z35" s="23"/>
      <c r="AA35" s="23"/>
      <c r="AB35" s="23"/>
      <c r="AC35" s="23"/>
      <c r="AD35" s="23"/>
      <c r="AE35" s="23"/>
      <c r="AF35" s="21"/>
      <c r="AG35" s="41"/>
      <c r="AH35" s="12"/>
    </row>
    <row r="36" spans="1:34" ht="12.75" customHeight="1" x14ac:dyDescent="0.25">
      <c r="A36" s="38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39"/>
      <c r="R36" s="40"/>
      <c r="S36" s="10"/>
      <c r="T36" s="10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41"/>
      <c r="AH36" s="12"/>
    </row>
    <row r="37" spans="1:34" ht="12.75" customHeight="1" x14ac:dyDescent="0.25">
      <c r="A37" s="38"/>
      <c r="P37" s="39"/>
      <c r="R37" s="4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40"/>
      <c r="AH37" s="12"/>
    </row>
    <row r="38" spans="1:34" ht="12.75" customHeight="1" x14ac:dyDescent="0.25"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2"/>
    </row>
    <row r="39" spans="1:34" ht="12.75" customHeight="1" x14ac:dyDescent="0.25">
      <c r="C39" s="8" t="s">
        <v>65</v>
      </c>
      <c r="R39" s="10"/>
      <c r="S39" s="10"/>
      <c r="T39" s="68" t="str">
        <f>C39</f>
        <v>Payment to be made to DINAMIK SHIPPING PTE LTD by Telegraphic Transfer to our account</v>
      </c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10"/>
      <c r="AG39" s="10"/>
      <c r="AH39" s="12"/>
    </row>
    <row r="40" spans="1:34" ht="12.75" customHeight="1" x14ac:dyDescent="0.25">
      <c r="C40" s="8" t="s">
        <v>66</v>
      </c>
      <c r="R40" s="10"/>
      <c r="S40" s="10"/>
      <c r="T40" s="68" t="str">
        <f>C40</f>
        <v>No. 651-869620-001 with OCBC Bank (Singapore), MBFC Branch, Swift Code: OCBCSGSG</v>
      </c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10"/>
      <c r="AG40" s="10"/>
      <c r="AH40" s="12"/>
    </row>
    <row r="41" spans="1:34" ht="12.75" customHeight="1" x14ac:dyDescent="0.25"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2"/>
    </row>
    <row r="42" spans="1:34" ht="12.75" customHeight="1" x14ac:dyDescent="0.25">
      <c r="D42" s="69"/>
      <c r="R42" s="10"/>
      <c r="S42" s="10"/>
      <c r="T42" s="10"/>
      <c r="U42" s="7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2"/>
    </row>
    <row r="43" spans="1:34" ht="12.75" customHeight="1" x14ac:dyDescent="0.25"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2"/>
    </row>
    <row r="44" spans="1:34" x14ac:dyDescent="0.25">
      <c r="N44" s="71" t="s">
        <v>67</v>
      </c>
      <c r="O44" s="71"/>
      <c r="R44" s="10"/>
      <c r="S44" s="10"/>
      <c r="T44" s="10"/>
      <c r="U44" s="10"/>
      <c r="V44" s="10"/>
      <c r="W44" s="10"/>
      <c r="X44" s="10"/>
      <c r="Y44" s="10"/>
      <c r="Z44" s="10"/>
      <c r="AA44" s="72" t="s">
        <v>68</v>
      </c>
      <c r="AB44" s="72"/>
      <c r="AC44" s="72"/>
      <c r="AD44" s="72"/>
      <c r="AE44" s="72"/>
      <c r="AF44" s="73"/>
      <c r="AG44" s="73"/>
      <c r="AH44" s="12"/>
    </row>
    <row r="45" spans="1:34" x14ac:dyDescent="0.25"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2"/>
    </row>
    <row r="46" spans="1:34" x14ac:dyDescent="0.25"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2"/>
    </row>
    <row r="47" spans="1:34" x14ac:dyDescent="0.25"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2"/>
    </row>
    <row r="48" spans="1:34" x14ac:dyDescent="0.25">
      <c r="N48" s="71" t="s">
        <v>69</v>
      </c>
      <c r="O48" s="71"/>
      <c r="R48" s="10"/>
      <c r="S48" s="10"/>
      <c r="T48" s="12"/>
      <c r="U48" s="10"/>
      <c r="V48" s="10"/>
      <c r="W48" s="10"/>
      <c r="X48" s="10"/>
      <c r="Y48" s="10"/>
      <c r="Z48" s="10"/>
      <c r="AA48" s="74" t="s">
        <v>69</v>
      </c>
      <c r="AB48" s="74"/>
      <c r="AC48" s="74"/>
      <c r="AD48" s="74"/>
      <c r="AE48" s="74"/>
      <c r="AF48" s="73"/>
      <c r="AG48" s="73"/>
      <c r="AH48" s="12"/>
    </row>
    <row r="49" spans="1:34" ht="12.75" customHeight="1" x14ac:dyDescent="0.25">
      <c r="C49" s="75" t="s">
        <v>70</v>
      </c>
      <c r="R49" s="10"/>
      <c r="S49" s="10"/>
      <c r="T49" s="76" t="s">
        <v>70</v>
      </c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2"/>
    </row>
    <row r="50" spans="1:34" ht="12.75" customHeight="1" x14ac:dyDescent="0.25">
      <c r="R50" s="10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10"/>
      <c r="AH50" s="12"/>
    </row>
    <row r="51" spans="1:34" ht="3" customHeight="1" x14ac:dyDescent="0.25"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2"/>
    </row>
    <row r="52" spans="1:34" ht="11.7" customHeight="1" x14ac:dyDescent="0.25">
      <c r="K52" s="77"/>
      <c r="L52" s="77"/>
      <c r="S52" s="78"/>
      <c r="T52" s="78" t="s">
        <v>71</v>
      </c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2"/>
    </row>
    <row r="53" spans="1:34" ht="11.7" customHeight="1" x14ac:dyDescent="0.25">
      <c r="K53" s="77"/>
      <c r="L53" s="77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10"/>
      <c r="AC53" s="79"/>
      <c r="AD53" s="70"/>
      <c r="AE53" s="70"/>
      <c r="AF53" s="70"/>
      <c r="AG53" s="70"/>
      <c r="AH53" s="80"/>
    </row>
    <row r="54" spans="1:34" ht="11.7" customHeight="1" x14ac:dyDescent="0.25">
      <c r="K54" s="77"/>
      <c r="L54" s="77"/>
      <c r="R54" s="70"/>
      <c r="S54" s="70"/>
      <c r="T54" s="10"/>
      <c r="U54" s="10"/>
      <c r="V54" s="70"/>
      <c r="W54" s="70"/>
      <c r="X54" s="70"/>
      <c r="Y54" s="70"/>
      <c r="AB54" s="10"/>
      <c r="AF54" s="70"/>
      <c r="AG54" s="70"/>
      <c r="AH54" s="81"/>
    </row>
    <row r="55" spans="1:34" ht="11.7" customHeight="1" x14ac:dyDescent="0.25">
      <c r="A55" s="77"/>
      <c r="B55" s="77"/>
      <c r="D55" s="77"/>
      <c r="K55" s="77"/>
      <c r="L55" s="77"/>
      <c r="R55" s="70"/>
      <c r="S55" s="70"/>
      <c r="T55" s="10"/>
      <c r="U55" s="10"/>
      <c r="V55" s="70"/>
      <c r="W55" s="70"/>
      <c r="X55" s="70"/>
      <c r="Y55" s="70"/>
      <c r="Z55" s="82" t="s">
        <v>72</v>
      </c>
      <c r="AA55" s="83" t="s">
        <v>73</v>
      </c>
      <c r="AB55" s="10"/>
      <c r="AC55" s="78" t="s">
        <v>74</v>
      </c>
      <c r="AD55" s="10"/>
      <c r="AE55" s="84">
        <f>SUM(U56:U61)</f>
        <v>1918.96875</v>
      </c>
      <c r="AF55" s="10"/>
      <c r="AG55" s="10"/>
      <c r="AH55" s="81"/>
    </row>
    <row r="56" spans="1:34" ht="11.7" customHeight="1" x14ac:dyDescent="0.25">
      <c r="A56" s="77"/>
      <c r="B56" s="77"/>
      <c r="D56" s="77"/>
      <c r="K56" s="77"/>
      <c r="L56" s="77"/>
      <c r="R56" s="10"/>
      <c r="S56" s="10"/>
      <c r="T56" s="82" t="s">
        <v>75</v>
      </c>
      <c r="U56" s="85">
        <f>T18/16*25.9</f>
        <v>145.6875</v>
      </c>
      <c r="V56" s="70"/>
      <c r="W56" s="79"/>
      <c r="X56" s="70"/>
      <c r="Y56" s="70"/>
      <c r="Z56" s="86" t="s">
        <v>76</v>
      </c>
      <c r="AA56" s="87">
        <v>20</v>
      </c>
      <c r="AB56" s="10"/>
      <c r="AC56" s="78" t="s">
        <v>77</v>
      </c>
      <c r="AD56" s="10"/>
      <c r="AE56" s="84">
        <f>SUM(X57:X61)</f>
        <v>1670.625</v>
      </c>
      <c r="AF56" s="10"/>
      <c r="AG56" s="10"/>
      <c r="AH56" s="81"/>
    </row>
    <row r="57" spans="1:34" ht="11.7" customHeight="1" x14ac:dyDescent="0.25">
      <c r="A57" s="77"/>
      <c r="B57" s="77"/>
      <c r="D57" s="77"/>
      <c r="K57" s="77"/>
      <c r="L57" s="77"/>
      <c r="R57" s="10"/>
      <c r="S57" s="10"/>
      <c r="T57" s="86" t="s">
        <v>78</v>
      </c>
      <c r="U57" s="83">
        <f>T18/16*82</f>
        <v>461.25</v>
      </c>
      <c r="V57" s="10"/>
      <c r="W57" s="82" t="s">
        <v>79</v>
      </c>
      <c r="X57" s="83">
        <f>T18/16*5</f>
        <v>28.125</v>
      </c>
      <c r="Y57" s="70"/>
      <c r="Z57" s="86" t="s">
        <v>80</v>
      </c>
      <c r="AA57" s="87" t="s">
        <v>73</v>
      </c>
      <c r="AB57" s="10"/>
      <c r="AC57" s="78" t="s">
        <v>81</v>
      </c>
      <c r="AD57" s="10"/>
      <c r="AE57" s="84">
        <f>SUM(AA55:AA61)</f>
        <v>200</v>
      </c>
      <c r="AF57" s="10"/>
      <c r="AG57" s="10"/>
      <c r="AH57" s="81"/>
    </row>
    <row r="58" spans="1:34" ht="11.7" customHeight="1" x14ac:dyDescent="0.25">
      <c r="A58" s="77"/>
      <c r="B58" s="77"/>
      <c r="D58" s="77"/>
      <c r="F58" s="77"/>
      <c r="G58" s="77"/>
      <c r="H58" s="77"/>
      <c r="I58" s="77"/>
      <c r="K58" s="77"/>
      <c r="L58" s="77"/>
      <c r="N58" s="88"/>
      <c r="O58" s="77"/>
      <c r="R58" s="10"/>
      <c r="S58" s="10"/>
      <c r="T58" s="86" t="s">
        <v>82</v>
      </c>
      <c r="U58" s="87">
        <f>T18/16*63.25</f>
        <v>355.78125</v>
      </c>
      <c r="V58" s="10"/>
      <c r="W58" s="82" t="s">
        <v>83</v>
      </c>
      <c r="X58" s="83">
        <f>T18/16*100</f>
        <v>562.5</v>
      </c>
      <c r="Y58" s="70"/>
      <c r="Z58" s="86" t="s">
        <v>84</v>
      </c>
      <c r="AA58" s="87">
        <f>(1.5*16)*(T18/16)</f>
        <v>135</v>
      </c>
      <c r="AB58" s="10"/>
      <c r="AC58" s="89" t="s">
        <v>85</v>
      </c>
      <c r="AD58" s="90"/>
      <c r="AE58" s="87">
        <f>SUM(AE55:AE57)</f>
        <v>3789.59375</v>
      </c>
      <c r="AF58" s="10"/>
      <c r="AG58" s="10"/>
      <c r="AH58" s="12"/>
    </row>
    <row r="59" spans="1:34" ht="11.7" customHeight="1" x14ac:dyDescent="0.25">
      <c r="A59" s="77"/>
      <c r="B59" s="77"/>
      <c r="D59" s="77"/>
      <c r="F59" s="77"/>
      <c r="G59" s="77"/>
      <c r="H59" s="77"/>
      <c r="I59" s="77"/>
      <c r="K59" s="77"/>
      <c r="L59" s="77"/>
      <c r="R59" s="10"/>
      <c r="S59" s="10"/>
      <c r="T59" s="91" t="s">
        <v>86</v>
      </c>
      <c r="U59" s="87">
        <f>T18/16*80</f>
        <v>450</v>
      </c>
      <c r="V59" s="10"/>
      <c r="W59" s="86" t="s">
        <v>87</v>
      </c>
      <c r="X59" s="87">
        <f>T18/16*180</f>
        <v>1012.5</v>
      </c>
      <c r="Y59" s="92"/>
      <c r="Z59" s="93"/>
      <c r="AA59" s="87"/>
      <c r="AB59" s="10"/>
      <c r="AC59" s="70"/>
      <c r="AD59" s="70"/>
      <c r="AE59" s="70"/>
      <c r="AF59" s="10"/>
      <c r="AG59" s="10"/>
      <c r="AH59" s="12"/>
    </row>
    <row r="60" spans="1:34" ht="11.7" customHeight="1" x14ac:dyDescent="0.25">
      <c r="A60" s="77"/>
      <c r="B60" s="77"/>
      <c r="D60" s="77"/>
      <c r="F60" s="77"/>
      <c r="G60" s="77"/>
      <c r="H60" s="77"/>
      <c r="I60" s="77"/>
      <c r="K60" s="77"/>
      <c r="L60" s="77"/>
      <c r="R60" s="10"/>
      <c r="S60" s="10"/>
      <c r="T60" s="82" t="s">
        <v>88</v>
      </c>
      <c r="U60" s="83">
        <f>T18/16*50</f>
        <v>281.25</v>
      </c>
      <c r="V60" s="10"/>
      <c r="W60" s="86" t="s">
        <v>89</v>
      </c>
      <c r="X60" s="87">
        <f>T18/16*12</f>
        <v>67.5</v>
      </c>
      <c r="Y60" s="92"/>
      <c r="Z60" s="86" t="s">
        <v>90</v>
      </c>
      <c r="AA60" s="87">
        <f>8*(T18/16)</f>
        <v>45</v>
      </c>
      <c r="AB60" s="10"/>
      <c r="AC60" s="70"/>
      <c r="AD60" s="70"/>
      <c r="AE60" s="70"/>
      <c r="AF60" s="10"/>
      <c r="AG60" s="10"/>
      <c r="AH60" s="12"/>
    </row>
    <row r="61" spans="1:34" ht="11.7" customHeight="1" x14ac:dyDescent="0.25">
      <c r="A61" s="77"/>
      <c r="B61" s="77"/>
      <c r="D61" s="77"/>
      <c r="F61" s="77"/>
      <c r="G61" s="77"/>
      <c r="H61" s="77"/>
      <c r="I61" s="77"/>
      <c r="K61" s="77"/>
      <c r="L61" s="77"/>
      <c r="R61" s="10"/>
      <c r="S61" s="10"/>
      <c r="T61" s="86" t="s">
        <v>91</v>
      </c>
      <c r="U61" s="87">
        <f>T18/16*40</f>
        <v>225</v>
      </c>
      <c r="V61" s="10"/>
      <c r="W61" s="86" t="s">
        <v>92</v>
      </c>
      <c r="X61" s="87">
        <v>0</v>
      </c>
      <c r="Y61" s="92"/>
      <c r="Z61" s="86" t="s">
        <v>93</v>
      </c>
      <c r="AA61" s="87">
        <v>0</v>
      </c>
      <c r="AB61" s="10"/>
      <c r="AC61" s="94" t="s">
        <v>94</v>
      </c>
      <c r="AD61" s="56"/>
      <c r="AE61" s="83">
        <f>AE31-AE58</f>
        <v>2334.0062500000004</v>
      </c>
      <c r="AF61" s="10"/>
      <c r="AG61" s="10"/>
      <c r="AH61" s="81"/>
    </row>
    <row r="62" spans="1:34" x14ac:dyDescent="0.25">
      <c r="A62" s="77"/>
      <c r="B62" s="77"/>
      <c r="C62" s="77"/>
      <c r="D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</row>
  </sheetData>
  <mergeCells count="20">
    <mergeCell ref="AA44:AE44"/>
    <mergeCell ref="AA48:AE48"/>
    <mergeCell ref="F23:G23"/>
    <mergeCell ref="W23:X23"/>
    <mergeCell ref="E35:O35"/>
    <mergeCell ref="V35:AE35"/>
    <mergeCell ref="T39:AE39"/>
    <mergeCell ref="T40:AE40"/>
    <mergeCell ref="D18:H18"/>
    <mergeCell ref="AC18:AE18"/>
    <mergeCell ref="C19:F19"/>
    <mergeCell ref="K19:L19"/>
    <mergeCell ref="AB19:AC19"/>
    <mergeCell ref="C22:F22"/>
    <mergeCell ref="AC7:AE7"/>
    <mergeCell ref="AD9:AE9"/>
    <mergeCell ref="C17:G17"/>
    <mergeCell ref="K17:L17"/>
    <mergeCell ref="T17:X17"/>
    <mergeCell ref="AB17:AC17"/>
  </mergeCells>
  <pageMargins left="0.7" right="0.7" top="0.75" bottom="0.75" header="0.3" footer="0.3"/>
  <pageSetup paperSize="9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85BC-BDC1-4783-A9CC-062891D9C200}">
  <sheetPr>
    <pageSetUpPr fitToPage="1"/>
  </sheetPr>
  <dimension ref="A5:E52"/>
  <sheetViews>
    <sheetView workbookViewId="0">
      <selection activeCell="D30" sqref="D30"/>
    </sheetView>
  </sheetViews>
  <sheetFormatPr defaultRowHeight="13.2" x14ac:dyDescent="0.25"/>
  <cols>
    <col min="2" max="2" width="10.33203125" bestFit="1" customWidth="1"/>
  </cols>
  <sheetData>
    <row r="5" spans="1:3" x14ac:dyDescent="0.25">
      <c r="A5" s="1" t="s">
        <v>0</v>
      </c>
      <c r="B5" s="2"/>
      <c r="C5" s="3"/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0" spans="1:3" x14ac:dyDescent="0.25">
      <c r="A10" t="s">
        <v>4</v>
      </c>
    </row>
    <row r="11" spans="1:3" x14ac:dyDescent="0.25">
      <c r="A11" t="s">
        <v>5</v>
      </c>
    </row>
    <row r="12" spans="1:3" x14ac:dyDescent="0.25">
      <c r="A12" t="s">
        <v>6</v>
      </c>
    </row>
    <row r="14" spans="1:3" x14ac:dyDescent="0.25">
      <c r="A14" t="s">
        <v>7</v>
      </c>
    </row>
    <row r="16" spans="1:3" x14ac:dyDescent="0.25">
      <c r="A16" t="s">
        <v>8</v>
      </c>
    </row>
    <row r="17" spans="1:5" ht="24" customHeight="1" x14ac:dyDescent="0.25">
      <c r="A17" s="4"/>
    </row>
    <row r="18" spans="1:5" s="6" customFormat="1" ht="18" customHeight="1" x14ac:dyDescent="0.25">
      <c r="A18" s="5" t="s">
        <v>9</v>
      </c>
      <c r="C18" s="5"/>
      <c r="D18" s="5" t="s">
        <v>10</v>
      </c>
      <c r="E18" s="5"/>
    </row>
    <row r="19" spans="1:5" s="6" customFormat="1" ht="18" customHeight="1" x14ac:dyDescent="0.25">
      <c r="A19" s="5" t="s">
        <v>11</v>
      </c>
      <c r="C19" s="5"/>
      <c r="D19" s="5" t="s">
        <v>12</v>
      </c>
      <c r="E19" s="5"/>
    </row>
    <row r="20" spans="1:5" s="6" customFormat="1" ht="18" customHeight="1" x14ac:dyDescent="0.25">
      <c r="A20" s="5" t="s">
        <v>13</v>
      </c>
      <c r="C20" s="5"/>
      <c r="D20" s="5" t="s">
        <v>14</v>
      </c>
      <c r="E20" s="5"/>
    </row>
    <row r="21" spans="1:5" s="6" customFormat="1" ht="18" customHeight="1" x14ac:dyDescent="0.25">
      <c r="A21" s="5" t="s">
        <v>15</v>
      </c>
      <c r="C21" s="5"/>
      <c r="D21" s="5" t="s">
        <v>16</v>
      </c>
      <c r="E21" s="5"/>
    </row>
    <row r="22" spans="1:5" ht="18" customHeight="1" x14ac:dyDescent="0.25">
      <c r="A22" s="5" t="s">
        <v>17</v>
      </c>
      <c r="B22" s="6"/>
      <c r="C22" s="5"/>
      <c r="D22" s="5" t="s">
        <v>18</v>
      </c>
      <c r="E22" s="5"/>
    </row>
    <row r="23" spans="1:5" ht="18" customHeight="1" x14ac:dyDescent="0.25">
      <c r="A23" s="5" t="s">
        <v>19</v>
      </c>
      <c r="B23" s="6"/>
      <c r="C23" s="5"/>
      <c r="D23" s="5" t="s">
        <v>20</v>
      </c>
    </row>
    <row r="24" spans="1:5" ht="18" customHeight="1" x14ac:dyDescent="0.25">
      <c r="A24" s="5"/>
      <c r="B24" s="6"/>
      <c r="C24" s="5"/>
      <c r="D24" s="5" t="s">
        <v>21</v>
      </c>
    </row>
    <row r="25" spans="1:5" ht="18" customHeight="1" x14ac:dyDescent="0.25">
      <c r="A25" s="5"/>
      <c r="B25" s="6"/>
      <c r="C25" s="5"/>
      <c r="D25" s="5" t="s">
        <v>22</v>
      </c>
    </row>
    <row r="26" spans="1:5" ht="18" customHeight="1" x14ac:dyDescent="0.25">
      <c r="A26" s="5"/>
      <c r="C26" s="5"/>
      <c r="D26" s="5" t="s">
        <v>23</v>
      </c>
    </row>
    <row r="27" spans="1:5" ht="18" customHeight="1" x14ac:dyDescent="0.25">
      <c r="C27" s="5"/>
      <c r="D27" s="5" t="s">
        <v>24</v>
      </c>
    </row>
    <row r="28" spans="1:5" ht="18" customHeight="1" x14ac:dyDescent="0.25">
      <c r="A28" s="5"/>
      <c r="C28" s="5"/>
      <c r="D28" s="5" t="s">
        <v>25</v>
      </c>
    </row>
    <row r="29" spans="1:5" ht="18" customHeight="1" x14ac:dyDescent="0.25">
      <c r="A29" s="5"/>
      <c r="C29" s="5"/>
      <c r="D29" s="5" t="s">
        <v>26</v>
      </c>
    </row>
    <row r="30" spans="1:5" ht="18" customHeight="1" x14ac:dyDescent="0.25">
      <c r="A30" s="5"/>
      <c r="C30" s="5"/>
      <c r="D30" s="5" t="s">
        <v>27</v>
      </c>
    </row>
    <row r="31" spans="1:5" ht="18" customHeight="1" x14ac:dyDescent="0.25">
      <c r="A31" s="5"/>
      <c r="C31" s="5"/>
      <c r="D31" s="5"/>
    </row>
    <row r="32" spans="1:5" ht="18" customHeight="1" x14ac:dyDescent="0.25">
      <c r="A32" s="5"/>
      <c r="C32" s="5"/>
      <c r="D32" s="5"/>
    </row>
    <row r="33" spans="1:4" ht="18" customHeight="1" x14ac:dyDescent="0.25">
      <c r="A33" s="5"/>
      <c r="C33" s="5"/>
      <c r="D33" s="5"/>
    </row>
    <row r="34" spans="1:4" ht="18" customHeight="1" x14ac:dyDescent="0.25">
      <c r="A34" s="5"/>
      <c r="C34" s="5"/>
      <c r="D34" s="5"/>
    </row>
    <row r="35" spans="1:4" ht="18" customHeight="1" x14ac:dyDescent="0.25">
      <c r="A35" s="5"/>
      <c r="C35" s="5"/>
      <c r="D35" s="5"/>
    </row>
    <row r="36" spans="1:4" ht="18" customHeight="1" x14ac:dyDescent="0.25">
      <c r="A36" s="5"/>
      <c r="C36" s="5"/>
    </row>
    <row r="37" spans="1:4" ht="18" customHeight="1" x14ac:dyDescent="0.25">
      <c r="A37" s="5"/>
      <c r="C37" s="5"/>
    </row>
    <row r="38" spans="1:4" ht="18" customHeight="1" x14ac:dyDescent="0.25">
      <c r="A38" s="5"/>
      <c r="C38" s="5"/>
    </row>
    <row r="39" spans="1:4" ht="18" customHeight="1" x14ac:dyDescent="0.25">
      <c r="A39" s="5"/>
      <c r="C39" s="5"/>
    </row>
    <row r="41" spans="1:4" x14ac:dyDescent="0.25">
      <c r="A41" t="s">
        <v>28</v>
      </c>
    </row>
    <row r="42" spans="1:4" x14ac:dyDescent="0.25">
      <c r="A42" s="7" t="s">
        <v>29</v>
      </c>
      <c r="B42" s="7"/>
      <c r="C42" s="7"/>
    </row>
    <row r="48" spans="1:4" ht="12.75" customHeight="1" x14ac:dyDescent="0.25">
      <c r="A48" t="s">
        <v>30</v>
      </c>
    </row>
    <row r="49" spans="1:1" ht="12.75" customHeight="1" x14ac:dyDescent="0.25">
      <c r="A49" t="s">
        <v>31</v>
      </c>
    </row>
    <row r="50" spans="1:1" ht="12.75" customHeight="1" x14ac:dyDescent="0.25"/>
    <row r="51" spans="1:1" ht="12.75" customHeight="1" x14ac:dyDescent="0.25"/>
    <row r="52" spans="1:1" ht="12.75" customHeight="1" x14ac:dyDescent="0.25"/>
  </sheetData>
  <mergeCells count="1">
    <mergeCell ref="B5:C5"/>
  </mergeCells>
  <pageMargins left="0.70866141732283472" right="0.19685039370078741" top="0.74803149606299213" bottom="0.74803149606299213" header="0.31496062992125984" footer="0.31496062992125984"/>
  <pageSetup paperSize="9" fitToWidth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DNxxSep.JS10.BST.90USSAV01</vt:lpstr>
      <vt:lpstr>Sep2025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Poon</dc:creator>
  <cp:lastModifiedBy>Leonard Poon</cp:lastModifiedBy>
  <dcterms:created xsi:type="dcterms:W3CDTF">2026-09-18T14:42:44Z</dcterms:created>
  <dcterms:modified xsi:type="dcterms:W3CDTF">2026-09-18T14:44:20Z</dcterms:modified>
</cp:coreProperties>
</file>