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75f67f85cff43f56/Cat backup/"/>
    </mc:Choice>
  </mc:AlternateContent>
  <xr:revisionPtr revIDLastSave="19560" documentId="13_ncr:1_{E9FBF2F7-1910-4954-B68E-3C70F822D6F4}" xr6:coauthVersionLast="47" xr6:coauthVersionMax="47" xr10:uidLastSave="{D05C865E-1CCC-4A5A-94A5-A9A8FB6967E7}"/>
  <bookViews>
    <workbookView xWindow="-120" yWindow="-120" windowWidth="29040" windowHeight="15720" tabRatio="626" firstSheet="22" activeTab="25" xr2:uid="{00000000-000D-0000-FFFF-FFFF00000000}"/>
  </bookViews>
  <sheets>
    <sheet name="Drop down list " sheetId="1985" r:id="rId1"/>
    <sheet name="DNxx(reconJesselton)" sheetId="3096" r:id="rId2"/>
    <sheet name="DNxx(BstoneStoreRentUSD)" sheetId="3205" r:id="rId3"/>
    <sheet name="DNxx(JesseltonDetentionChar)" sheetId="3280" r:id="rId4"/>
    <sheet name="DNxx(JesseltonStoreRent)" sheetId="3435" r:id="rId5"/>
    <sheet name="DNxx(JesseltonRecondition)" sheetId="3436" r:id="rId6"/>
    <sheet name="DNxx(GHS Tptn)StoreRent" sheetId="3187" r:id="rId7"/>
    <sheet name="DNxx.PS09.STT.160USCHS(THC)" sheetId="3601" r:id="rId8"/>
    <sheet name="DNxx.MR07.NCE.160shortship" sheetId="3547" r:id="rId9"/>
    <sheet name="DNxx.PS08.JA.03(SRIB11cntrs)" sheetId="3600" r:id="rId10"/>
    <sheet name="DN202512-xx GHS FKLIFTDEC25" sheetId="3641" r:id="rId11"/>
    <sheet name="DNxx(STTStoreRent)" sheetId="3821" r:id="rId12"/>
    <sheet name="DNxx.JS08.BS90USSSI03brkblk" sheetId="3813" r:id="rId13"/>
    <sheet name="DNxx.JS08.BS60USSSI17brkblk" sheetId="3828" r:id="rId14"/>
    <sheet name="DNxxPS08.STT.96AUFRE07(mb5)" sheetId="3833" r:id="rId15"/>
    <sheet name="DNxx.PS07.NCE(SRIB11cntrs)" sheetId="3854" r:id="rId16"/>
    <sheet name="DN32Aug.PS08.STT.96AUFRE(mbTHC)" sheetId="3500" r:id="rId17"/>
    <sheet name="DNxx.PS08.STT.96AUFRE(mbTHC)" sheetId="3855" r:id="rId18"/>
    <sheet name="DNxx.JS09.STT.32AUMEL(swpbTHC)" sheetId="3867" r:id="rId19"/>
    <sheet name="DNxxOct(GHS Tptn)" sheetId="3866" r:id="rId20"/>
    <sheet name="DNxxOct.PS09.BST.80MXMTY08" sheetId="3859" r:id="rId21"/>
    <sheet name="DNxxOct.JS09.STT.160CNTAO04" sheetId="3863" r:id="rId22"/>
    <sheet name="DNxx.PS09.BST.15CAVAN(15mb" sheetId="3865" r:id="rId23"/>
    <sheet name="DNxxSep.JS10.BST.90USSAV01(15MB" sheetId="3868" r:id="rId24"/>
    <sheet name="DNxxSep.JS10.BST.60USSAV04(15MB" sheetId="3869" r:id="rId25"/>
    <sheet name="Oct" sheetId="3843" r:id="rId26"/>
  </sheets>
  <functionGroups builtInGroupCount="19"/>
  <definedNames>
    <definedName name="_xlnm._FilterDatabase" localSheetId="10" hidden="1">'DN202512-xx GHS FKLIFTDEC25'!$L$12:$N$12</definedName>
    <definedName name="_xlnm._FilterDatabase" localSheetId="6" hidden="1">'DNxx(GHS Tptn)StoreRent'!$L$12:$N$12</definedName>
    <definedName name="_xlnm._FilterDatabase" localSheetId="19" hidden="1">'DNxxOct(GHS Tptn)'!$L$12:$N$12</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8" i="3843" l="1"/>
  <c r="I18" i="3843"/>
  <c r="T40" i="3869" l="1"/>
  <c r="T39" i="3869"/>
  <c r="V35" i="3869"/>
  <c r="T35" i="3869"/>
  <c r="AA26" i="3869"/>
  <c r="T26" i="3869"/>
  <c r="W23" i="3869"/>
  <c r="V23" i="3869"/>
  <c r="T23" i="3869"/>
  <c r="T22" i="3869"/>
  <c r="T21" i="3869"/>
  <c r="AA20" i="3869"/>
  <c r="Z20" i="3869"/>
  <c r="T20" i="3869"/>
  <c r="AB19" i="3869"/>
  <c r="AA19" i="3869"/>
  <c r="X19" i="3869"/>
  <c r="T19" i="3869"/>
  <c r="AC18" i="3869"/>
  <c r="U18" i="3869"/>
  <c r="T18" i="3869"/>
  <c r="X57" i="3869" s="1"/>
  <c r="I18" i="3869"/>
  <c r="N26" i="3869" s="1"/>
  <c r="AB17" i="3869"/>
  <c r="Z17" i="3869"/>
  <c r="T17" i="3869"/>
  <c r="T16" i="3869"/>
  <c r="AE12" i="3869"/>
  <c r="AD12" i="3869"/>
  <c r="T12" i="3869"/>
  <c r="T11" i="3869"/>
  <c r="T10" i="3869"/>
  <c r="AD9" i="3869"/>
  <c r="T9" i="3869"/>
  <c r="T8" i="3869"/>
  <c r="T7" i="3869"/>
  <c r="T40" i="3868"/>
  <c r="T39" i="3868"/>
  <c r="V35" i="3868"/>
  <c r="T35" i="3868"/>
  <c r="AA26" i="3868"/>
  <c r="T26" i="3868"/>
  <c r="W23" i="3868"/>
  <c r="V23" i="3868"/>
  <c r="T23" i="3868"/>
  <c r="T22" i="3868"/>
  <c r="T21" i="3868"/>
  <c r="AA20" i="3868"/>
  <c r="Z20" i="3868"/>
  <c r="T20" i="3868"/>
  <c r="AB19" i="3868"/>
  <c r="AA19" i="3868"/>
  <c r="X19" i="3868"/>
  <c r="T19" i="3868"/>
  <c r="AC18" i="3868"/>
  <c r="U18" i="3868"/>
  <c r="T18" i="3868"/>
  <c r="U61" i="3868" s="1"/>
  <c r="I18" i="3868"/>
  <c r="Z18" i="3868" s="1"/>
  <c r="AB17" i="3868"/>
  <c r="Z17" i="3868"/>
  <c r="T17" i="3868"/>
  <c r="T16" i="3868"/>
  <c r="AE12" i="3868"/>
  <c r="AD12" i="3868"/>
  <c r="T12" i="3868"/>
  <c r="T11" i="3868"/>
  <c r="T10" i="3868"/>
  <c r="AD9" i="3868"/>
  <c r="T9" i="3868"/>
  <c r="T8" i="3868"/>
  <c r="T7" i="3868"/>
  <c r="Z26" i="3865"/>
  <c r="AB26" i="3865"/>
  <c r="AA26" i="3865"/>
  <c r="AD26" i="3865"/>
  <c r="U56" i="3868" l="1"/>
  <c r="U57" i="3868"/>
  <c r="U59" i="3868"/>
  <c r="X58" i="3868"/>
  <c r="AA58" i="3868"/>
  <c r="U56" i="3869"/>
  <c r="X57" i="3868"/>
  <c r="X59" i="3868"/>
  <c r="X60" i="3868"/>
  <c r="AA60" i="3868"/>
  <c r="AE57" i="3868" s="1"/>
  <c r="U58" i="3869"/>
  <c r="X58" i="3869"/>
  <c r="AA58" i="3869"/>
  <c r="N31" i="3869"/>
  <c r="AE26" i="3869"/>
  <c r="AE31" i="3869" s="1"/>
  <c r="U59" i="3869"/>
  <c r="X59" i="3869"/>
  <c r="Z18" i="3869"/>
  <c r="U60" i="3869"/>
  <c r="X60" i="3869"/>
  <c r="AA60" i="3869"/>
  <c r="U57" i="3869"/>
  <c r="U61" i="3869"/>
  <c r="N26" i="3868"/>
  <c r="AE26" i="3868" s="1"/>
  <c r="U58" i="3868"/>
  <c r="U60" i="3868"/>
  <c r="V53" i="3867"/>
  <c r="V52" i="3867"/>
  <c r="T52" i="3867"/>
  <c r="V51" i="3867"/>
  <c r="T51" i="3867"/>
  <c r="V50" i="3867"/>
  <c r="V49" i="3867"/>
  <c r="U49" i="3867"/>
  <c r="V32" i="3867"/>
  <c r="T32" i="3867"/>
  <c r="N28" i="3867"/>
  <c r="T27" i="3867"/>
  <c r="T26" i="3867"/>
  <c r="T25" i="3867"/>
  <c r="T24" i="3867"/>
  <c r="AE23" i="3867"/>
  <c r="AE28" i="3867" s="1"/>
  <c r="T23" i="3867"/>
  <c r="T20" i="3867"/>
  <c r="W19" i="3867"/>
  <c r="V19" i="3867"/>
  <c r="T19" i="3867"/>
  <c r="T18" i="3867"/>
  <c r="AC17" i="3867"/>
  <c r="AB17" i="3867"/>
  <c r="U17" i="3867"/>
  <c r="T17" i="3867"/>
  <c r="I17" i="3867"/>
  <c r="Z17" i="3867" s="1"/>
  <c r="Z16" i="3867"/>
  <c r="T16" i="3867"/>
  <c r="AE12" i="3867"/>
  <c r="AD12" i="3867"/>
  <c r="T10" i="3867"/>
  <c r="AD9" i="3867"/>
  <c r="T9" i="3867"/>
  <c r="T8" i="3867"/>
  <c r="T7" i="3867"/>
  <c r="C43" i="3843"/>
  <c r="B43" i="3843"/>
  <c r="S37" i="3866"/>
  <c r="V33" i="3866"/>
  <c r="S33" i="3866"/>
  <c r="S21" i="3866"/>
  <c r="X20" i="3866"/>
  <c r="S20" i="3866"/>
  <c r="N20" i="3866"/>
  <c r="N27" i="3866" s="1"/>
  <c r="S18" i="3866"/>
  <c r="AD12" i="3866"/>
  <c r="AC12" i="3866"/>
  <c r="S10" i="3866"/>
  <c r="AC9" i="3866"/>
  <c r="S9" i="3866"/>
  <c r="S8" i="3866"/>
  <c r="S7" i="3866"/>
  <c r="AE55" i="3869" l="1"/>
  <c r="AE57" i="3869"/>
  <c r="AE56" i="3869"/>
  <c r="AE56" i="3868"/>
  <c r="AE55" i="3868"/>
  <c r="AE31" i="3868"/>
  <c r="N31" i="3868"/>
  <c r="AD20" i="3866"/>
  <c r="AD27" i="3866" s="1"/>
  <c r="T40" i="3865"/>
  <c r="T39" i="3865"/>
  <c r="V35" i="3865"/>
  <c r="T35" i="3865"/>
  <c r="T26" i="3865"/>
  <c r="W23" i="3865"/>
  <c r="V23" i="3865"/>
  <c r="T23" i="3865"/>
  <c r="T22" i="3865"/>
  <c r="T21" i="3865"/>
  <c r="AA20" i="3865"/>
  <c r="Z20" i="3865"/>
  <c r="T20" i="3865"/>
  <c r="AB19" i="3865"/>
  <c r="AA19" i="3865"/>
  <c r="X19" i="3865"/>
  <c r="T19" i="3865"/>
  <c r="AC18" i="3865"/>
  <c r="U18" i="3865"/>
  <c r="T18" i="3865"/>
  <c r="I18" i="3865"/>
  <c r="N26" i="3865" s="1"/>
  <c r="AE26" i="3865" s="1"/>
  <c r="AB17" i="3865"/>
  <c r="Z17" i="3865"/>
  <c r="T17" i="3865"/>
  <c r="T16" i="3865"/>
  <c r="AE12" i="3865"/>
  <c r="AD12" i="3865"/>
  <c r="T12" i="3865"/>
  <c r="T11" i="3865"/>
  <c r="T10" i="3865"/>
  <c r="AD9" i="3865"/>
  <c r="T9" i="3865"/>
  <c r="T8" i="3865"/>
  <c r="T7" i="3865"/>
  <c r="T40" i="3863"/>
  <c r="T39" i="3863"/>
  <c r="V35" i="3863"/>
  <c r="T35" i="3863"/>
  <c r="AA26" i="3863"/>
  <c r="T26" i="3863"/>
  <c r="W23" i="3863"/>
  <c r="V23" i="3863"/>
  <c r="T23" i="3863"/>
  <c r="T22" i="3863"/>
  <c r="T21" i="3863"/>
  <c r="AA20" i="3863"/>
  <c r="Z20" i="3863"/>
  <c r="T20" i="3863"/>
  <c r="AB19" i="3863"/>
  <c r="AA19" i="3863"/>
  <c r="X19" i="3863"/>
  <c r="T19" i="3863"/>
  <c r="AC18" i="3863"/>
  <c r="U18" i="3863"/>
  <c r="T18" i="3863"/>
  <c r="AA57" i="3863" s="1"/>
  <c r="I18" i="3863"/>
  <c r="N26" i="3863" s="1"/>
  <c r="AA17" i="3863"/>
  <c r="Z17" i="3863"/>
  <c r="T17" i="3863"/>
  <c r="T16" i="3863"/>
  <c r="AE12" i="3863"/>
  <c r="AD12" i="3863"/>
  <c r="T12" i="3863"/>
  <c r="T11" i="3863"/>
  <c r="T10" i="3863"/>
  <c r="AD9" i="3863"/>
  <c r="T9" i="3863"/>
  <c r="T8" i="3863"/>
  <c r="T7" i="3863"/>
  <c r="T40" i="3859"/>
  <c r="T39" i="3859"/>
  <c r="V35" i="3859"/>
  <c r="T35" i="3859"/>
  <c r="AA26" i="3859"/>
  <c r="T26" i="3859"/>
  <c r="W23" i="3859"/>
  <c r="V23" i="3859"/>
  <c r="T23" i="3859"/>
  <c r="T22" i="3859"/>
  <c r="T21" i="3859"/>
  <c r="AA20" i="3859"/>
  <c r="Z20" i="3859"/>
  <c r="T20" i="3859"/>
  <c r="AB19" i="3859"/>
  <c r="AA19" i="3859"/>
  <c r="X19" i="3859"/>
  <c r="T19" i="3859"/>
  <c r="AC18" i="3859"/>
  <c r="U18" i="3859"/>
  <c r="T18" i="3859"/>
  <c r="X57" i="3859" s="1"/>
  <c r="I18" i="3859"/>
  <c r="N26" i="3859" s="1"/>
  <c r="AB17" i="3859"/>
  <c r="Z17" i="3859"/>
  <c r="T17" i="3859"/>
  <c r="T16" i="3859"/>
  <c r="AE12" i="3859"/>
  <c r="AD12" i="3859"/>
  <c r="T12" i="3859"/>
  <c r="T11" i="3859"/>
  <c r="T10" i="3859"/>
  <c r="AD9" i="3859"/>
  <c r="T9" i="3859"/>
  <c r="T8" i="3859"/>
  <c r="T7" i="3859"/>
  <c r="U60" i="3865" l="1"/>
  <c r="U59" i="3865"/>
  <c r="U58" i="3865"/>
  <c r="U57" i="3865"/>
  <c r="U56" i="3865"/>
  <c r="AA60" i="3865"/>
  <c r="AA58" i="3865"/>
  <c r="X57" i="3865"/>
  <c r="X60" i="3865"/>
  <c r="X59" i="3865"/>
  <c r="X58" i="3865"/>
  <c r="U61" i="3865"/>
  <c r="AE58" i="3868"/>
  <c r="AE61" i="3868" s="1"/>
  <c r="AE58" i="3869"/>
  <c r="AE61" i="3869" s="1"/>
  <c r="AE31" i="3865"/>
  <c r="N31" i="3865"/>
  <c r="Z18" i="3865"/>
  <c r="U57" i="3863"/>
  <c r="U58" i="3863"/>
  <c r="AA58" i="3863"/>
  <c r="AA60" i="3863"/>
  <c r="AE26" i="3863"/>
  <c r="AE31" i="3863" s="1"/>
  <c r="N31" i="3863"/>
  <c r="X58" i="3863"/>
  <c r="U59" i="3863"/>
  <c r="Z18" i="3863"/>
  <c r="X59" i="3863"/>
  <c r="U56" i="3863"/>
  <c r="U60" i="3863"/>
  <c r="X60" i="3863"/>
  <c r="X57" i="3863"/>
  <c r="U61" i="3863"/>
  <c r="U58" i="3859"/>
  <c r="X58" i="3859"/>
  <c r="AA58" i="3859"/>
  <c r="N31" i="3859"/>
  <c r="AE26" i="3859"/>
  <c r="AE31" i="3859" s="1"/>
  <c r="X59" i="3859"/>
  <c r="U60" i="3859"/>
  <c r="U59" i="3859"/>
  <c r="Z18" i="3859"/>
  <c r="U56" i="3859"/>
  <c r="X60" i="3859"/>
  <c r="AA60" i="3859"/>
  <c r="U57" i="3859"/>
  <c r="U61" i="3859"/>
  <c r="V53" i="3855"/>
  <c r="V52" i="3855"/>
  <c r="T52" i="3855"/>
  <c r="V51" i="3855"/>
  <c r="T51" i="3855"/>
  <c r="V50" i="3855"/>
  <c r="V49" i="3855"/>
  <c r="U49" i="3855"/>
  <c r="V32" i="3855"/>
  <c r="T32" i="3855"/>
  <c r="N28" i="3855"/>
  <c r="T27" i="3855"/>
  <c r="T26" i="3855"/>
  <c r="T25" i="3855"/>
  <c r="T24" i="3855"/>
  <c r="AE23" i="3855"/>
  <c r="AE28" i="3855" s="1"/>
  <c r="T23" i="3855"/>
  <c r="T20" i="3855"/>
  <c r="W19" i="3855"/>
  <c r="V19" i="3855"/>
  <c r="T19" i="3855"/>
  <c r="T18" i="3855"/>
  <c r="AC17" i="3855"/>
  <c r="AB17" i="3855"/>
  <c r="U17" i="3855"/>
  <c r="T17" i="3855"/>
  <c r="I17" i="3855"/>
  <c r="Z17" i="3855" s="1"/>
  <c r="Z16" i="3855"/>
  <c r="T16" i="3855"/>
  <c r="AE12" i="3855"/>
  <c r="AD12" i="3855"/>
  <c r="T10" i="3855"/>
  <c r="AD9" i="3855"/>
  <c r="T9" i="3855"/>
  <c r="T8" i="3855"/>
  <c r="T7" i="3855"/>
  <c r="AA17" i="3854"/>
  <c r="T40" i="3854"/>
  <c r="T39" i="3854"/>
  <c r="V35" i="3854"/>
  <c r="T35" i="3854"/>
  <c r="AD34" i="3854"/>
  <c r="N34" i="3854"/>
  <c r="AE34" i="3854" s="1"/>
  <c r="T32" i="3854"/>
  <c r="AE31" i="3854"/>
  <c r="AD31" i="3854"/>
  <c r="T31" i="3854"/>
  <c r="T29" i="3854"/>
  <c r="AE28" i="3854"/>
  <c r="AD28" i="3854"/>
  <c r="T28" i="3854"/>
  <c r="T27" i="3854"/>
  <c r="T26" i="3854"/>
  <c r="W23" i="3854"/>
  <c r="V23" i="3854"/>
  <c r="T23" i="3854"/>
  <c r="T22" i="3854"/>
  <c r="T21" i="3854"/>
  <c r="AA20" i="3854"/>
  <c r="Z20" i="3854"/>
  <c r="T20" i="3854"/>
  <c r="AB19" i="3854"/>
  <c r="AA19" i="3854"/>
  <c r="X19" i="3854"/>
  <c r="T19" i="3854"/>
  <c r="AC18" i="3854"/>
  <c r="U18" i="3854"/>
  <c r="T18" i="3854"/>
  <c r="I18" i="3854"/>
  <c r="Z18" i="3854" s="1"/>
  <c r="Z17" i="3854"/>
  <c r="T17" i="3854"/>
  <c r="T16" i="3854"/>
  <c r="AE12" i="3854"/>
  <c r="AD12" i="3854"/>
  <c r="T12" i="3854"/>
  <c r="T11" i="3854"/>
  <c r="T10" i="3854"/>
  <c r="AD9" i="3854"/>
  <c r="T9" i="3854"/>
  <c r="T8" i="3854"/>
  <c r="T7" i="3854"/>
  <c r="I17" i="3500"/>
  <c r="J16" i="3843"/>
  <c r="I16" i="3843"/>
  <c r="T40" i="3833"/>
  <c r="T39" i="3833"/>
  <c r="V35" i="3833"/>
  <c r="T35" i="3833"/>
  <c r="AA26" i="3833"/>
  <c r="T26" i="3833"/>
  <c r="W23" i="3833"/>
  <c r="V23" i="3833"/>
  <c r="T23" i="3833"/>
  <c r="T22" i="3833"/>
  <c r="T21" i="3833"/>
  <c r="AA20" i="3833"/>
  <c r="Z20" i="3833"/>
  <c r="T20" i="3833"/>
  <c r="AB19" i="3833"/>
  <c r="AA19" i="3833"/>
  <c r="X19" i="3833"/>
  <c r="T19" i="3833"/>
  <c r="AC18" i="3833"/>
  <c r="U18" i="3833"/>
  <c r="T18" i="3833"/>
  <c r="AA57" i="3833" s="1"/>
  <c r="I18" i="3833"/>
  <c r="N26" i="3833" s="1"/>
  <c r="AA17" i="3833"/>
  <c r="Z17" i="3833"/>
  <c r="T17" i="3833"/>
  <c r="T16" i="3833"/>
  <c r="AE12" i="3833"/>
  <c r="AD12" i="3833"/>
  <c r="T12" i="3833"/>
  <c r="T11" i="3833"/>
  <c r="T10" i="3833"/>
  <c r="AD9" i="3833"/>
  <c r="T9" i="3833"/>
  <c r="T8" i="3833"/>
  <c r="T7" i="3833"/>
  <c r="T40" i="3828"/>
  <c r="T39" i="3828"/>
  <c r="V35" i="3828"/>
  <c r="T35" i="3828"/>
  <c r="AA26" i="3828"/>
  <c r="T26" i="3828"/>
  <c r="W23" i="3828"/>
  <c r="V23" i="3828"/>
  <c r="T23" i="3828"/>
  <c r="T22" i="3828"/>
  <c r="T21" i="3828"/>
  <c r="AA20" i="3828"/>
  <c r="Z20" i="3828"/>
  <c r="T20" i="3828"/>
  <c r="AB19" i="3828"/>
  <c r="AA19" i="3828"/>
  <c r="X19" i="3828"/>
  <c r="T19" i="3828"/>
  <c r="AC18" i="3828"/>
  <c r="U18" i="3828"/>
  <c r="T18" i="3828"/>
  <c r="AA58" i="3828" s="1"/>
  <c r="AE57" i="3828" s="1"/>
  <c r="I18" i="3828"/>
  <c r="Z18" i="3828" s="1"/>
  <c r="X58" i="3828" s="1"/>
  <c r="AE56" i="3828" s="1"/>
  <c r="AB17" i="3828"/>
  <c r="Z17" i="3828"/>
  <c r="T17" i="3828"/>
  <c r="T16" i="3828"/>
  <c r="AE12" i="3828"/>
  <c r="AD12" i="3828"/>
  <c r="T12" i="3828"/>
  <c r="T11" i="3828"/>
  <c r="T10" i="3828"/>
  <c r="AD9" i="3828"/>
  <c r="T9" i="3828"/>
  <c r="T8" i="3828"/>
  <c r="T7" i="3828"/>
  <c r="N31" i="3821"/>
  <c r="AE28" i="3821"/>
  <c r="AD28" i="3821"/>
  <c r="T26" i="3821"/>
  <c r="T27" i="3821"/>
  <c r="T24" i="3821"/>
  <c r="T23" i="3821"/>
  <c r="AE55" i="3865" l="1"/>
  <c r="AE57" i="3865"/>
  <c r="AE56" i="3865"/>
  <c r="AE57" i="3863"/>
  <c r="AE56" i="3863"/>
  <c r="AE55" i="3863"/>
  <c r="AE57" i="3859"/>
  <c r="AE56" i="3859"/>
  <c r="AE55" i="3859"/>
  <c r="U56" i="3828"/>
  <c r="U58" i="3828"/>
  <c r="U58" i="3833"/>
  <c r="X58" i="3833"/>
  <c r="AA58" i="3833"/>
  <c r="AE26" i="3833"/>
  <c r="AE31" i="3833" s="1"/>
  <c r="N31" i="3833"/>
  <c r="U59" i="3833"/>
  <c r="Z18" i="3833"/>
  <c r="X59" i="3833"/>
  <c r="U56" i="3833"/>
  <c r="U60" i="3833"/>
  <c r="U57" i="3833"/>
  <c r="X57" i="3833"/>
  <c r="U61" i="3833"/>
  <c r="X60" i="3833"/>
  <c r="AA60" i="3833"/>
  <c r="N26" i="3828"/>
  <c r="T40" i="3821"/>
  <c r="T39" i="3821"/>
  <c r="T35" i="3821"/>
  <c r="AD31" i="3821"/>
  <c r="AE25" i="3821"/>
  <c r="AE31" i="3821" s="1"/>
  <c r="AD25" i="3821"/>
  <c r="T22" i="3821"/>
  <c r="T20" i="3821"/>
  <c r="T19" i="3821"/>
  <c r="T17" i="3821"/>
  <c r="T16" i="3821"/>
  <c r="AE12" i="3821"/>
  <c r="AD12" i="3821"/>
  <c r="T10" i="3821"/>
  <c r="AD9" i="3821"/>
  <c r="T9" i="3821"/>
  <c r="T8" i="3821"/>
  <c r="T7" i="3821"/>
  <c r="T40" i="3813"/>
  <c r="T39" i="3813"/>
  <c r="V35" i="3813"/>
  <c r="T35" i="3813"/>
  <c r="AA26" i="3813"/>
  <c r="T26" i="3813"/>
  <c r="W23" i="3813"/>
  <c r="V23" i="3813"/>
  <c r="T23" i="3813"/>
  <c r="T22" i="3813"/>
  <c r="T21" i="3813"/>
  <c r="AA20" i="3813"/>
  <c r="Z20" i="3813"/>
  <c r="T20" i="3813"/>
  <c r="AB19" i="3813"/>
  <c r="AA19" i="3813"/>
  <c r="X19" i="3813"/>
  <c r="T19" i="3813"/>
  <c r="AC18" i="3813"/>
  <c r="U18" i="3813"/>
  <c r="T18" i="3813"/>
  <c r="AA58" i="3813" s="1"/>
  <c r="AE57" i="3813" s="1"/>
  <c r="I18" i="3813"/>
  <c r="N26" i="3813" s="1"/>
  <c r="AB17" i="3813"/>
  <c r="Z17" i="3813"/>
  <c r="T17" i="3813"/>
  <c r="T16" i="3813"/>
  <c r="AE12" i="3813"/>
  <c r="AD12" i="3813"/>
  <c r="T12" i="3813"/>
  <c r="T11" i="3813"/>
  <c r="T10" i="3813"/>
  <c r="AD9" i="3813"/>
  <c r="T9" i="3813"/>
  <c r="T8" i="3813"/>
  <c r="T7" i="3813"/>
  <c r="AE58" i="3865" l="1"/>
  <c r="AE61" i="3865" s="1"/>
  <c r="AE57" i="3833"/>
  <c r="AE58" i="3863"/>
  <c r="AE61" i="3863" s="1"/>
  <c r="AE58" i="3859"/>
  <c r="AE61" i="3859" s="1"/>
  <c r="U56" i="3813"/>
  <c r="AE55" i="3828"/>
  <c r="AE58" i="3828" s="1"/>
  <c r="AE56" i="3833"/>
  <c r="AE55" i="3833"/>
  <c r="N31" i="3828"/>
  <c r="AE26" i="3828"/>
  <c r="AE31" i="3828" s="1"/>
  <c r="N31" i="3813"/>
  <c r="AE26" i="3813"/>
  <c r="AE31" i="3813" s="1"/>
  <c r="Z18" i="3813"/>
  <c r="X58" i="3813" s="1"/>
  <c r="AE56" i="3813" s="1"/>
  <c r="U58" i="3813"/>
  <c r="AE55" i="3813" l="1"/>
  <c r="AE58" i="3813" s="1"/>
  <c r="AE61" i="3813" s="1"/>
  <c r="AE61" i="3828"/>
  <c r="AE58" i="3833"/>
  <c r="AE61" i="3833" s="1"/>
  <c r="S37" i="3641" l="1"/>
  <c r="V33" i="3641"/>
  <c r="S33" i="3641"/>
  <c r="S21" i="3641"/>
  <c r="X20" i="3641"/>
  <c r="S20" i="3641"/>
  <c r="N20" i="3641"/>
  <c r="N27" i="3641" s="1"/>
  <c r="S18" i="3641"/>
  <c r="AD12" i="3641"/>
  <c r="AC12" i="3641"/>
  <c r="S10" i="3641"/>
  <c r="AC9" i="3641"/>
  <c r="S9" i="3641"/>
  <c r="S8" i="3641"/>
  <c r="S7" i="3641"/>
  <c r="AD20" i="3641" l="1"/>
  <c r="AD27" i="3641" s="1"/>
  <c r="V53" i="3601"/>
  <c r="V52" i="3601"/>
  <c r="T52" i="3601"/>
  <c r="V51" i="3601"/>
  <c r="T51" i="3601"/>
  <c r="V50" i="3601"/>
  <c r="V49" i="3601"/>
  <c r="U49" i="3601"/>
  <c r="V32" i="3601"/>
  <c r="T32" i="3601"/>
  <c r="N28" i="3601"/>
  <c r="T27" i="3601"/>
  <c r="T26" i="3601"/>
  <c r="T25" i="3601"/>
  <c r="T24" i="3601"/>
  <c r="AE23" i="3601"/>
  <c r="AE28" i="3601" s="1"/>
  <c r="T23" i="3601"/>
  <c r="T20" i="3601"/>
  <c r="W19" i="3601"/>
  <c r="V19" i="3601"/>
  <c r="T19" i="3601"/>
  <c r="T18" i="3601"/>
  <c r="AC17" i="3601"/>
  <c r="AB17" i="3601"/>
  <c r="U17" i="3601"/>
  <c r="T17" i="3601"/>
  <c r="I17" i="3601"/>
  <c r="Z17" i="3601" s="1"/>
  <c r="Z16" i="3601"/>
  <c r="T16" i="3601"/>
  <c r="AE12" i="3601"/>
  <c r="AD12" i="3601"/>
  <c r="T10" i="3601"/>
  <c r="AD9" i="3601"/>
  <c r="T9" i="3601"/>
  <c r="T8" i="3601"/>
  <c r="T7" i="3601"/>
  <c r="AD34" i="3600" l="1"/>
  <c r="AE31" i="3600"/>
  <c r="AD31" i="3600"/>
  <c r="AD28" i="3600"/>
  <c r="AE28" i="3600"/>
  <c r="T32" i="3600"/>
  <c r="T31" i="3600"/>
  <c r="T29" i="3600"/>
  <c r="T28" i="3600"/>
  <c r="T27" i="3600"/>
  <c r="N34" i="3600"/>
  <c r="AE34" i="3600" s="1"/>
  <c r="T40" i="3600"/>
  <c r="T39" i="3600"/>
  <c r="V35" i="3600"/>
  <c r="T35" i="3600"/>
  <c r="T26" i="3600"/>
  <c r="W23" i="3600"/>
  <c r="V23" i="3600"/>
  <c r="T23" i="3600"/>
  <c r="T22" i="3600"/>
  <c r="T21" i="3600"/>
  <c r="AA20" i="3600"/>
  <c r="Z20" i="3600"/>
  <c r="T20" i="3600"/>
  <c r="AB19" i="3600"/>
  <c r="AA19" i="3600"/>
  <c r="X19" i="3600"/>
  <c r="T19" i="3600"/>
  <c r="AC18" i="3600"/>
  <c r="U18" i="3600"/>
  <c r="T18" i="3600"/>
  <c r="I18" i="3600"/>
  <c r="Z18" i="3600" s="1"/>
  <c r="Z17" i="3600"/>
  <c r="T17" i="3600"/>
  <c r="T16" i="3600"/>
  <c r="AE12" i="3600"/>
  <c r="AD12" i="3600"/>
  <c r="T12" i="3600"/>
  <c r="T11" i="3600"/>
  <c r="T10" i="3600"/>
  <c r="AD9" i="3600"/>
  <c r="T9" i="3600"/>
  <c r="T8" i="3600"/>
  <c r="T7" i="3600"/>
  <c r="AB21" i="3547" l="1"/>
  <c r="AD20" i="3547"/>
  <c r="AD19" i="3547"/>
  <c r="AB20" i="3547"/>
  <c r="AA20" i="3547"/>
  <c r="X20" i="3547"/>
  <c r="T20" i="3547"/>
  <c r="T41" i="3547" l="1"/>
  <c r="T40" i="3547"/>
  <c r="V36" i="3547"/>
  <c r="T36" i="3547"/>
  <c r="AA27" i="3547"/>
  <c r="T27" i="3547"/>
  <c r="W24" i="3547"/>
  <c r="V24" i="3547"/>
  <c r="T24" i="3547"/>
  <c r="T23" i="3547"/>
  <c r="T22" i="3547"/>
  <c r="T21" i="3547"/>
  <c r="AB19" i="3547"/>
  <c r="AA19" i="3547"/>
  <c r="X19" i="3547"/>
  <c r="T19" i="3547"/>
  <c r="AC18" i="3547"/>
  <c r="U18" i="3547"/>
  <c r="T18" i="3547"/>
  <c r="U56" i="3547" s="1"/>
  <c r="I18" i="3547"/>
  <c r="N27" i="3547" s="1"/>
  <c r="Z17" i="3547"/>
  <c r="T17" i="3547"/>
  <c r="T16" i="3547"/>
  <c r="AE12" i="3547"/>
  <c r="AD12" i="3547"/>
  <c r="T12" i="3547"/>
  <c r="T11" i="3547"/>
  <c r="T10" i="3547"/>
  <c r="AD9" i="3547"/>
  <c r="T9" i="3547"/>
  <c r="T8" i="3547"/>
  <c r="T7" i="3547"/>
  <c r="U57" i="3547" l="1"/>
  <c r="X57" i="3547"/>
  <c r="AA57" i="3547"/>
  <c r="N32" i="3547"/>
  <c r="AE27" i="3547"/>
  <c r="AE32" i="3547" s="1"/>
  <c r="U58" i="3547"/>
  <c r="Z18" i="3547"/>
  <c r="X58" i="3547"/>
  <c r="U59" i="3547"/>
  <c r="U61" i="3547"/>
  <c r="AA58" i="3547"/>
  <c r="X59" i="3547"/>
  <c r="U60" i="3547"/>
  <c r="X60" i="3547"/>
  <c r="AA60" i="3547"/>
  <c r="AE57" i="3547" l="1"/>
  <c r="AE55" i="3547"/>
  <c r="AE56" i="3547"/>
  <c r="W19" i="3500"/>
  <c r="V53" i="3500"/>
  <c r="V52" i="3500"/>
  <c r="T52" i="3500"/>
  <c r="V51" i="3500"/>
  <c r="T51" i="3500"/>
  <c r="V50" i="3500"/>
  <c r="V49" i="3500"/>
  <c r="U49" i="3500"/>
  <c r="V32" i="3500"/>
  <c r="T32" i="3500"/>
  <c r="N28" i="3500"/>
  <c r="T27" i="3500"/>
  <c r="T26" i="3500"/>
  <c r="T25" i="3500"/>
  <c r="T24" i="3500"/>
  <c r="AE23" i="3500"/>
  <c r="AE28" i="3500" s="1"/>
  <c r="T23" i="3500"/>
  <c r="T20" i="3500"/>
  <c r="V19" i="3500"/>
  <c r="T19" i="3500"/>
  <c r="T18" i="3500"/>
  <c r="AC17" i="3500"/>
  <c r="AB17" i="3500"/>
  <c r="U17" i="3500"/>
  <c r="T17" i="3500"/>
  <c r="Z17" i="3500"/>
  <c r="Z16" i="3500"/>
  <c r="T16" i="3500"/>
  <c r="AE12" i="3500"/>
  <c r="AD12" i="3500"/>
  <c r="T10" i="3500"/>
  <c r="AD9" i="3500"/>
  <c r="T9" i="3500"/>
  <c r="T8" i="3500"/>
  <c r="T7" i="3500"/>
  <c r="AE58" i="3547" l="1"/>
  <c r="AE61" i="3547" s="1"/>
  <c r="AD27" i="3187"/>
  <c r="N27" i="3187"/>
  <c r="AD27" i="3436" l="1"/>
  <c r="N27" i="3436"/>
  <c r="S37" i="3436"/>
  <c r="AD12" i="3436"/>
  <c r="AC12" i="3436"/>
  <c r="S10" i="3436"/>
  <c r="AC9" i="3436"/>
  <c r="S9" i="3436"/>
  <c r="S8" i="3436"/>
  <c r="S7" i="3436"/>
  <c r="AD32" i="3435"/>
  <c r="N32" i="3435"/>
  <c r="S37" i="3435"/>
  <c r="AD12" i="3435"/>
  <c r="AC12" i="3435"/>
  <c r="S10" i="3435"/>
  <c r="AC9" i="3435"/>
  <c r="S9" i="3435"/>
  <c r="S8" i="3435"/>
  <c r="S7" i="3435"/>
  <c r="AD21" i="3280" l="1"/>
  <c r="AD27" i="3280" s="1"/>
  <c r="AC21" i="3280"/>
  <c r="S22" i="3280"/>
  <c r="S21" i="3280"/>
  <c r="S20" i="3280"/>
  <c r="S19" i="3280"/>
  <c r="S37" i="3280"/>
  <c r="V33" i="3280"/>
  <c r="S33" i="3280"/>
  <c r="N27" i="3280"/>
  <c r="AD12" i="3280"/>
  <c r="AC12" i="3280"/>
  <c r="S10" i="3280"/>
  <c r="AC9" i="3280"/>
  <c r="S9" i="3280"/>
  <c r="S8" i="3280"/>
  <c r="S7" i="3280"/>
  <c r="AD31" i="3205"/>
  <c r="AE25" i="3205"/>
  <c r="AE31" i="3205" s="1"/>
  <c r="AD25" i="3205"/>
  <c r="T25" i="3205"/>
  <c r="T40" i="3205"/>
  <c r="T39" i="3205"/>
  <c r="T35" i="3205"/>
  <c r="N31" i="3205"/>
  <c r="W29" i="3205"/>
  <c r="W28" i="3205"/>
  <c r="W27" i="3205"/>
  <c r="T26" i="3205"/>
  <c r="T24" i="3205"/>
  <c r="T23" i="3205"/>
  <c r="T20" i="3205"/>
  <c r="T19" i="3205"/>
  <c r="T18" i="3205"/>
  <c r="T17" i="3205"/>
  <c r="T16" i="3205"/>
  <c r="AE12" i="3205"/>
  <c r="AD12" i="3205"/>
  <c r="T10" i="3205"/>
  <c r="AD9" i="3205"/>
  <c r="T9" i="3205"/>
  <c r="T8" i="3205"/>
  <c r="T7" i="3205"/>
  <c r="S37" i="3187"/>
  <c r="AD12" i="3187"/>
  <c r="AC12" i="3187"/>
  <c r="S10" i="3187"/>
  <c r="AC9" i="3187"/>
  <c r="S9" i="3187"/>
  <c r="S8" i="3187"/>
  <c r="S7" i="3187"/>
  <c r="S37" i="3096" l="1"/>
  <c r="S33" i="3096"/>
  <c r="V33" i="3096"/>
  <c r="N27" i="3096"/>
  <c r="AD23" i="3096"/>
  <c r="AD27" i="3096" s="1"/>
  <c r="S23" i="3096"/>
  <c r="S18" i="3096"/>
  <c r="AD12" i="3096"/>
  <c r="AC12" i="3096"/>
  <c r="S10" i="3096"/>
  <c r="AC9" i="3096"/>
  <c r="S9" i="3096"/>
  <c r="S8" i="3096"/>
  <c r="S7" i="3096"/>
</calcChain>
</file>

<file path=xl/sharedStrings.xml><?xml version="1.0" encoding="utf-8"?>
<sst xmlns="http://schemas.openxmlformats.org/spreadsheetml/2006/main" count="1491" uniqueCount="339">
  <si>
    <t>Bridgestone Singapore Pte Ltd</t>
  </si>
  <si>
    <t>Metal  Boxes (MB5)</t>
  </si>
  <si>
    <t>SMR 10 Rubber</t>
  </si>
  <si>
    <t>Tuaran)</t>
  </si>
  <si>
    <t>Jaya Asri Pte Ltd</t>
  </si>
  <si>
    <t>Shrinkwrapped Plastic Pallets Base</t>
  </si>
  <si>
    <t>SMR 20 Rubber</t>
  </si>
  <si>
    <t>Tenom)</t>
  </si>
  <si>
    <t>New Continent Enterprises Pte Ltd</t>
  </si>
  <si>
    <t>SMR 5 Rubber</t>
  </si>
  <si>
    <t>Tuaran BAL)</t>
  </si>
  <si>
    <t xml:space="preserve">R1 International Malaysia Sdn Bhd </t>
  </si>
  <si>
    <t>Singapore Tong Teik (Pte) Ltd</t>
  </si>
  <si>
    <t>To Qingdao, China</t>
  </si>
  <si>
    <t>DINAMIK SHIPPING PTE LTD</t>
  </si>
  <si>
    <t>138 Cecil Street #09-03, Cecil Court, Singapore 069538   Tel: (65) 6222 2811  Fax: (65) 6222 2155</t>
  </si>
  <si>
    <t>Company Registration No. 200403109N</t>
  </si>
  <si>
    <t>Debit Note</t>
  </si>
  <si>
    <t>No.  :</t>
  </si>
  <si>
    <t>Date  :</t>
  </si>
  <si>
    <t>S$</t>
  </si>
  <si>
    <t>Singapore Dollars</t>
  </si>
  <si>
    <t xml:space="preserve">Payment to be made to DINAMIK SHIPPING PTE LTD by local cheque in Singapore Dollars </t>
  </si>
  <si>
    <r>
      <t xml:space="preserve">for </t>
    </r>
    <r>
      <rPr>
        <b/>
        <sz val="10"/>
        <rFont val="Tahoma"/>
        <family val="2"/>
      </rPr>
      <t>DINAMIK SHIPPING PTE LTD</t>
    </r>
  </si>
  <si>
    <r>
      <t xml:space="preserve">for </t>
    </r>
    <r>
      <rPr>
        <b/>
        <sz val="10"/>
        <color indexed="58"/>
        <rFont val="Tahoma"/>
        <family val="2"/>
      </rPr>
      <t>DINAMIK SHIPPING PTE LTD</t>
    </r>
  </si>
  <si>
    <t>…………………………………………………………</t>
  </si>
  <si>
    <t>E &amp; O E</t>
  </si>
  <si>
    <t xml:space="preserve"> [ ACCOUNT'S COPY ]</t>
  </si>
  <si>
    <t xml:space="preserve"> [ ACCOUNTS COPY ]</t>
  </si>
  <si>
    <t>Profit  =  NIL</t>
  </si>
  <si>
    <t>Sabah Rubber Industry Board</t>
  </si>
  <si>
    <t>Level 3, Wisma Pertanian Sabah</t>
  </si>
  <si>
    <t>Jalan Tasik</t>
  </si>
  <si>
    <t>Luyang (off Jalan Maktab Gaya)</t>
  </si>
  <si>
    <t>Kota Kinabalu, Sabah</t>
  </si>
  <si>
    <t>East Malaysia</t>
  </si>
  <si>
    <t xml:space="preserve">M/Tons </t>
  </si>
  <si>
    <t>M/Tons</t>
  </si>
  <si>
    <t>B/L dated</t>
  </si>
  <si>
    <t>Transhipment Charge</t>
  </si>
  <si>
    <t>@ S$</t>
  </si>
  <si>
    <t>per M/Ton</t>
  </si>
  <si>
    <t>Payment to be made to DINAMIK SHIPPING PTE LTD by Telegraphic Transfer to our account</t>
  </si>
  <si>
    <t>No. 651-869620-001 with OCBC Bank (Singapore), MBFC Branch, Swift Code: OCBCSGSG</t>
  </si>
  <si>
    <t>BL</t>
  </si>
  <si>
    <t>Port Charges</t>
  </si>
  <si>
    <t>HSC</t>
  </si>
  <si>
    <t>PERMIT</t>
  </si>
  <si>
    <t>Transport</t>
  </si>
  <si>
    <t>SR</t>
  </si>
  <si>
    <t>SEAL</t>
  </si>
  <si>
    <t>Misc</t>
  </si>
  <si>
    <t>EC</t>
  </si>
  <si>
    <t>TR</t>
  </si>
  <si>
    <t>RM</t>
  </si>
  <si>
    <t>Total</t>
  </si>
  <si>
    <t>DHC</t>
  </si>
  <si>
    <t>STF</t>
  </si>
  <si>
    <t>RC</t>
  </si>
  <si>
    <t>CL</t>
  </si>
  <si>
    <t>CMAS</t>
  </si>
  <si>
    <t>FL</t>
  </si>
  <si>
    <t>STK</t>
  </si>
  <si>
    <t>IR</t>
  </si>
  <si>
    <t>OTHERS</t>
  </si>
  <si>
    <t>Profit</t>
  </si>
  <si>
    <t>Remarks</t>
  </si>
  <si>
    <t>G. H. Seow Transportation Pte Ltd</t>
  </si>
  <si>
    <t>21 Woodlands Close</t>
  </si>
  <si>
    <t>#08-41, Primz Bizhub</t>
  </si>
  <si>
    <t>Singapore 737854</t>
  </si>
  <si>
    <t>Ex Mare I</t>
  </si>
  <si>
    <t>To Yarimca, Turkiye</t>
  </si>
  <si>
    <t>To Xiamen, China</t>
  </si>
  <si>
    <t>To Wuhu, China</t>
  </si>
  <si>
    <t>To Taichung, Taiwan</t>
  </si>
  <si>
    <t>To Sydney, Australia</t>
  </si>
  <si>
    <t>To Shanghai, China</t>
  </si>
  <si>
    <t>To Savannah, USA</t>
  </si>
  <si>
    <t>To Santos, Brazil</t>
  </si>
  <si>
    <t>To Salvador, Brazil</t>
  </si>
  <si>
    <t>To Melbourne, Australia</t>
  </si>
  <si>
    <t>To Manzanillo, Mexico</t>
  </si>
  <si>
    <t>To Izmit, Turkiye</t>
  </si>
  <si>
    <t>To Dalian, China</t>
  </si>
  <si>
    <t>To Fuqing, China</t>
  </si>
  <si>
    <t>To Evyap, Turkiye</t>
  </si>
  <si>
    <t>To Brunswick, USA</t>
  </si>
  <si>
    <t>To Buenos Aires, Argentina</t>
  </si>
  <si>
    <t>To Cat Lai, Vietnam</t>
  </si>
  <si>
    <t>To Charleston, USA</t>
  </si>
  <si>
    <t>To Chennai, India</t>
  </si>
  <si>
    <t>To Coega, South Africa</t>
  </si>
  <si>
    <t>To Cuernavaca, Mexico</t>
  </si>
  <si>
    <t>To Huangpu, China</t>
  </si>
  <si>
    <t>To Karachi, Pakistan</t>
  </si>
  <si>
    <t>To Nhava Sheva, India</t>
  </si>
  <si>
    <t>To Pt. Caldera/Heredia, Costa Rica</t>
  </si>
  <si>
    <t>To Antwerp, Belgium</t>
  </si>
  <si>
    <t>To Bilbao, Spain</t>
  </si>
  <si>
    <t>Jesselton Shipping (2012) Pte Ltd</t>
  </si>
  <si>
    <t xml:space="preserve">2 Boon Leat Terrace </t>
  </si>
  <si>
    <t>#08-01 Harbourside Building 2</t>
  </si>
  <si>
    <t>DN2020xx-xx</t>
  </si>
  <si>
    <t>Singapore 119844</t>
  </si>
  <si>
    <t>To cost of reconditioning (taking out all the 36 bales from the metal box in order to patch the damaged portion with thick gauge aluminium foil and check for metal contamination before placing back the bales)
4 damaged Metal Boxes ex Eponyma V.2010W arrived 01.10.20</t>
  </si>
  <si>
    <t>@S$80.00 per Metal box</t>
  </si>
  <si>
    <t>Three Hundred Twenty only</t>
  </si>
  <si>
    <t>To Istanbul, Turkiye</t>
  </si>
  <si>
    <t>To Derince, Turkiye</t>
  </si>
  <si>
    <t>DN202407-17</t>
  </si>
  <si>
    <t>Contract No.264267 64 MB5 94.08M3 SMR-10 April 2024 to PT Caldera/Heredia</t>
  </si>
  <si>
    <t>Contract No.264268 64 MB5 94.08M3 SMR-10 April 2024 to PT Caldera/Heredia</t>
  </si>
  <si>
    <t>Contract No.264269 64 MB5 94.08M3 SMR-10 April 2024 to PT Caldera/Heredia</t>
  </si>
  <si>
    <t xml:space="preserve">Total 192 MB5 282.24M3 SMR-10 arrived Singapore on 19 April 2024 </t>
  </si>
  <si>
    <t>and shipped on 10 July 2024</t>
  </si>
  <si>
    <t>Jurong Port FTZ godown first 14 days free storage for transshipment cargo.</t>
  </si>
  <si>
    <t>Next 14 days S$2.80 per M3</t>
  </si>
  <si>
    <t>Next 28 days S$14.00 per M3</t>
  </si>
  <si>
    <t>Next 20 days S$20.00 per M3</t>
  </si>
  <si>
    <t>16 Raffles Quay</t>
  </si>
  <si>
    <t>#32-02 Hong Leong Building</t>
  </si>
  <si>
    <t>Singapore 048581</t>
  </si>
  <si>
    <t>Nos: GB2400038359/GB2400038360 attached</t>
  </si>
  <si>
    <t>Jurong Port store rent as per Jurong Port Bill</t>
  </si>
  <si>
    <t>US$</t>
  </si>
  <si>
    <t>United States Dollars Four Thousand Six Hundred Sixty Six and cents Twenty Six only</t>
  </si>
  <si>
    <t>SGD 6,223.39 at exchange 1.3337</t>
  </si>
  <si>
    <t>Ten Thousand Eight Hundred Eighty Six And Cents Forty only</t>
  </si>
  <si>
    <t>One Thousand Four Hundred only</t>
  </si>
  <si>
    <t>Detention Charges as billed by Cosco Shipping Lines (Singapore) Pte Ltd</t>
  </si>
  <si>
    <t>ex Eponyma V.2410W B/L No. JEPY2410W-BKI13 arrived 29.08.24</t>
  </si>
  <si>
    <t>(attached Email dated 9 Oct 2024)</t>
  </si>
  <si>
    <t>Invoice No. OFTE24104461 attached</t>
  </si>
  <si>
    <t>AF</t>
  </si>
  <si>
    <t>Your half share of forklift charges as billed by Jesselton Shipping (2012) Pte Ltd</t>
  </si>
  <si>
    <t>Ex Pacific Star</t>
  </si>
  <si>
    <t>Ex: Eponyma V.2501W arrived Singapore 31.01.25</t>
  </si>
  <si>
    <t>per MARE I V.2502E B/L dated 28.02.25</t>
  </si>
  <si>
    <t>B/L JEPY2501W-BKI06 Balance 44 units SMR20</t>
  </si>
  <si>
    <t>B/L JEPY2501W-BKI03 Balance 45 units SMR20</t>
  </si>
  <si>
    <t>B/L JEPY2501W-BKI04 Balance 44 units SMR20</t>
  </si>
  <si>
    <t>B/L JEPY2501W-BKI12 Balance 55 units SMR20</t>
  </si>
  <si>
    <t>Total 188 rejected units shipped from Singapore back to Kota Kinabalu</t>
  </si>
  <si>
    <t>Store rent on 44 units 64.68 M3 ex B/L JEPY2501W-BKI06 for 11 days</t>
  </si>
  <si>
    <t>DN202504-13</t>
  </si>
  <si>
    <t>@ S$2.20 per M3 / 20 SCTS per M3 per day</t>
  </si>
  <si>
    <t>for 11 days @ S$2.20 per M3</t>
  </si>
  <si>
    <t>Six Hundred and Eight only</t>
  </si>
  <si>
    <t>B/L JEPY2501W-BKI04 44 units 64.68 M3 &amp;</t>
  </si>
  <si>
    <t>B/L JEPY2501W-BKI12 55 units 80.85 M3</t>
  </si>
  <si>
    <t>ex B/L JEPY2501W-BKI03 45 units 66.15 M3,</t>
  </si>
  <si>
    <t>Store rent on 144 units 211.68 M3</t>
  </si>
  <si>
    <t>DN202504-14</t>
  </si>
  <si>
    <t>Unpacking and repacking 36 bales from one MB5</t>
  </si>
  <si>
    <t>G.H. Seow Transportation P/L Invoice No. D25-0051 attached.</t>
  </si>
  <si>
    <t xml:space="preserve">ex B/L No. JEPY2501W-BKI09 as per </t>
  </si>
  <si>
    <t xml:space="preserve">Checked for contamination, cleaning and replacing </t>
  </si>
  <si>
    <t>the affected bales with new bale bags for</t>
  </si>
  <si>
    <t>B/L Nos: JEPY2501W-BKI02, 03, 04, 05, 06, 07 &amp; 12 total 976 units</t>
  </si>
  <si>
    <t>Two Thousand Three Hundred only</t>
  </si>
  <si>
    <t>DN202010-xx</t>
  </si>
  <si>
    <t>Ex: Mare I V.2503W arrived Singapore 19.04.25</t>
  </si>
  <si>
    <t>B/L No. JMAR2503W-BKI08</t>
  </si>
  <si>
    <t>Store rent incurred for 10 x 20' containers</t>
  </si>
  <si>
    <t>as billed by Jesselton Shipping (2012) Pte Ltd</t>
  </si>
  <si>
    <t>Invoice No. INV2504/005 attached</t>
  </si>
  <si>
    <t>One Hundred Forty only</t>
  </si>
  <si>
    <t>DN202505-21</t>
  </si>
  <si>
    <t>Ex Mare I V.2503W arrived Singapore 19.04.25</t>
  </si>
  <si>
    <t>Jan</t>
  </si>
  <si>
    <t>Feb</t>
  </si>
  <si>
    <t>Mar</t>
  </si>
  <si>
    <t>Apr</t>
  </si>
  <si>
    <t>May</t>
  </si>
  <si>
    <t>Jun</t>
  </si>
  <si>
    <t>Jul</t>
  </si>
  <si>
    <t>Aug</t>
  </si>
  <si>
    <t>Sep</t>
  </si>
  <si>
    <t>Oct</t>
  </si>
  <si>
    <t>Nov</t>
  </si>
  <si>
    <t>Dec</t>
  </si>
  <si>
    <t>Mthly Av</t>
  </si>
  <si>
    <t>Six Thousand One Hundred Twenty Three and cents Sixty only</t>
  </si>
  <si>
    <t>7 Temasek Boulevard,</t>
  </si>
  <si>
    <t>#20-02 Suntec Tower One,</t>
  </si>
  <si>
    <t>Singapore 038987</t>
  </si>
  <si>
    <t xml:space="preserve">Origin T.H.C paid on your behalf for </t>
  </si>
  <si>
    <t>MEGA-AIR PTE LTD</t>
  </si>
  <si>
    <t>Attached</t>
  </si>
  <si>
    <t xml:space="preserve">Singapore Dollars </t>
  </si>
  <si>
    <t>Bank Name:</t>
  </si>
  <si>
    <t>OCBC Bank</t>
  </si>
  <si>
    <t>65 Chulia Streeet, OCBC Centre</t>
  </si>
  <si>
    <t>Beneficiary Name:</t>
  </si>
  <si>
    <t>Dinamik Shipping Pte Ltd</t>
  </si>
  <si>
    <t>Bank Account No:</t>
  </si>
  <si>
    <t>651869620001</t>
  </si>
  <si>
    <t>PayNow:</t>
  </si>
  <si>
    <t>200403109N</t>
  </si>
  <si>
    <t>Voy 2507W    Arrd</t>
  </si>
  <si>
    <t>To Monterrey, Mexico</t>
  </si>
  <si>
    <t>To Montreal/Joliette, Canada</t>
  </si>
  <si>
    <t>S/I No. 78066</t>
  </si>
  <si>
    <t>Shipped per OOCL California Voy 166N</t>
  </si>
  <si>
    <t>Your Invoice No. 13007</t>
  </si>
  <si>
    <t>Your Invoice No. 13017</t>
  </si>
  <si>
    <t>S/I No. S25-7427-JS</t>
  </si>
  <si>
    <t>Voy 2508W    Arrd</t>
  </si>
  <si>
    <t>B/L No. JPST2508W-BKI03</t>
  </si>
  <si>
    <t>(178/25</t>
  </si>
  <si>
    <t>DN202510-05</t>
  </si>
  <si>
    <t>(63 units)</t>
  </si>
  <si>
    <t>(97 units)</t>
  </si>
  <si>
    <t>B/L No. JMAR2507W-BKI10 &amp; JPST2508W-BKI19</t>
  </si>
  <si>
    <t>(174/25 &amp; 174A/25 Tenom)</t>
  </si>
  <si>
    <t>To Nansha, China</t>
  </si>
  <si>
    <t>S/I No. S25-7481</t>
  </si>
  <si>
    <t>DN202511-01</t>
  </si>
  <si>
    <t>Additional Freight paid on your behalf for 1 x 20' containers for above</t>
  </si>
  <si>
    <t>shipment from Singapore to Qingdao per OOCL California Voy 166N</t>
  </si>
  <si>
    <t>at USD90.00 per 20' x 1 = USD90.00 at exchange 1.32</t>
  </si>
  <si>
    <t>(as per CEG P/L Debit Note No. DN106/2025 attached)</t>
  </si>
  <si>
    <t>1 additional container seal fee paid on your behalf at S$23.00 per seal   x1</t>
  </si>
  <si>
    <t>One Hundred Forty One and Cents Eighty only</t>
  </si>
  <si>
    <t>DN202511-13</t>
  </si>
  <si>
    <t>10 x 20'</t>
  </si>
  <si>
    <t>To Charleston</t>
  </si>
  <si>
    <t xml:space="preserve">10 x 20' SMR20 as per photocopy of </t>
  </si>
  <si>
    <t>DJY LOGISTICS (S) PTE. LTD.</t>
  </si>
  <si>
    <t>Invoice No. DJYIN250693</t>
  </si>
  <si>
    <t>TWO THOUSAND AND SEVEN HUNDRED ONLY</t>
  </si>
  <si>
    <t>Shipped per One Manhatten Voy 043E</t>
  </si>
  <si>
    <t xml:space="preserve">Invoice No. INV2511/008 -  S$ </t>
  </si>
  <si>
    <t>(Dec 2025)</t>
  </si>
  <si>
    <t>One Thousand One Hundred and Eleven and Cents Eighty only</t>
  </si>
  <si>
    <t>DN202512-24</t>
  </si>
  <si>
    <t>Ex Jade Star</t>
  </si>
  <si>
    <t>S/I No.</t>
  </si>
  <si>
    <t xml:space="preserve">S/I No. </t>
  </si>
  <si>
    <t>Contract No.</t>
  </si>
  <si>
    <t>-</t>
  </si>
  <si>
    <t>Should be November 2025</t>
  </si>
  <si>
    <t xml:space="preserve">Contract No. </t>
  </si>
  <si>
    <t>Voy 2607W    Arrd</t>
  </si>
  <si>
    <t>Shipped per CMA CGM Perth Voy 0BYPDN1NC</t>
  </si>
  <si>
    <t>B/L No. JPST2607W-BKI06</t>
  </si>
  <si>
    <t>(163/26</t>
  </si>
  <si>
    <t>Your Invoice No. 13238</t>
  </si>
  <si>
    <t>Voy 2608W    Arrd</t>
  </si>
  <si>
    <t>Shipped per Tysla Voy AF619</t>
  </si>
  <si>
    <t>B/L No. JJST2608W-BKI03</t>
  </si>
  <si>
    <t>(140/26</t>
  </si>
  <si>
    <t>DN202608-05</t>
  </si>
  <si>
    <t>Store rent on 160 units 235.2 M3 ex B/L JJST2607W-BKI01 &amp; BKI02 for 1 day</t>
  </si>
  <si>
    <t>Jurong Port Container Store Rent</t>
  </si>
  <si>
    <t>Jurong Port Store Rent</t>
  </si>
  <si>
    <t>Container store rent on 10 containers ex B/L JJST2607W-BKI01 &amp; BKI02 for 7 days</t>
  </si>
  <si>
    <t>Singapore Dollars Six Hundred Seven and cents Four only</t>
  </si>
  <si>
    <t>and shipped on 31 July 2026 on MV. Xin Qin Huang Dao V.133N</t>
  </si>
  <si>
    <t>Jurong Port FTZ godown first 14 days free storage for transshipment cargo</t>
  </si>
  <si>
    <t xml:space="preserve">Total 160 units 235.2M3 SMR-10 arrived Singapore on 07 July 2026 </t>
  </si>
  <si>
    <t>SI No. S26-7867(A) 80 units 117.6M3 SMR-10 to Qingdao, China</t>
  </si>
  <si>
    <t>SI No. S26-7867(B) 80 units 117.6M3 SMR-10 to Qingdao, China</t>
  </si>
  <si>
    <t>DN202608-09</t>
  </si>
  <si>
    <t>DN202608-23</t>
  </si>
  <si>
    <t>Your Invoice No. 13253</t>
  </si>
  <si>
    <t>Your Invoice No. 13267</t>
  </si>
  <si>
    <t>B/L No. JJST2608W-BKI17</t>
  </si>
  <si>
    <t>(154/26</t>
  </si>
  <si>
    <t>Four Thousand Eighty Two and cents Forty only</t>
  </si>
  <si>
    <t>DN202608-26</t>
  </si>
  <si>
    <t>Your Invoice No. 13269</t>
  </si>
  <si>
    <t>S26-8017(A)</t>
  </si>
  <si>
    <t>B/L No. JPST2608W-BKI07</t>
  </si>
  <si>
    <t>(161/26</t>
  </si>
  <si>
    <t>Shipped per Maersk Biscayne Voy 635S</t>
  </si>
  <si>
    <t>To Fremantle, Australia</t>
  </si>
  <si>
    <t>Six Thousand Five Hundred Thirty One And Cents Eighty Four only</t>
  </si>
  <si>
    <t>Shipped per Xiamen Voy 636S</t>
  </si>
  <si>
    <t>Voy 2609W    Arrd</t>
  </si>
  <si>
    <t>Shipped per OOCL Yokohama Voy 214S</t>
  </si>
  <si>
    <t>DN202608-32</t>
  </si>
  <si>
    <t>S/I No. S26-8017(A)</t>
  </si>
  <si>
    <t>Metal Boxes (MB5)</t>
  </si>
  <si>
    <t>6 x 20'</t>
  </si>
  <si>
    <t xml:space="preserve">6 x 20' SMR20 as per photocopy of </t>
  </si>
  <si>
    <t>Invoice No. IVSE26080002</t>
  </si>
  <si>
    <t>One Thousand Six Hundred Eighty Only</t>
  </si>
  <si>
    <t>DN202608-33</t>
  </si>
  <si>
    <t>shipment from Singapore to Qingdao per CMA CGM Perth Voy  0BYPDN1NC</t>
  </si>
  <si>
    <t>at USD120.00 per 20' x 1 = USD120.00 at exchange 1.2917</t>
  </si>
  <si>
    <t>(as per CEG P/L Debit Note No. DN086/2026 attached)</t>
  </si>
  <si>
    <t>1 additional container seal fee paid on your behalf at S$15.00 per seal   x1</t>
  </si>
  <si>
    <t>One Hundred Seventy only</t>
  </si>
  <si>
    <t>DN202609-10</t>
  </si>
  <si>
    <t>S/I No. S26-8017(B)</t>
  </si>
  <si>
    <t>5 x 20'</t>
  </si>
  <si>
    <t xml:space="preserve">5 x 20' SMR20 as per photocopy of </t>
  </si>
  <si>
    <t>Invoice No. IVSE26090001</t>
  </si>
  <si>
    <t>One Thousand Four Hundred Only</t>
  </si>
  <si>
    <t>DN202609-xx</t>
  </si>
  <si>
    <t>Your Invoice No. 132xx</t>
  </si>
  <si>
    <t>B/L No. JPST2609W-BKI08</t>
  </si>
  <si>
    <t>(194/26</t>
  </si>
  <si>
    <t>B/L No. JPST2609W-BKI04</t>
  </si>
  <si>
    <t>S26-8059(B)</t>
  </si>
  <si>
    <t>(198/26</t>
  </si>
  <si>
    <t>B/L No. JPST2609W-BKI06</t>
  </si>
  <si>
    <t>(210/26</t>
  </si>
  <si>
    <t>DN202609-16</t>
  </si>
  <si>
    <t xml:space="preserve">Invoice No. INV2608/020 -  S$ </t>
  </si>
  <si>
    <t>(Aug 2026)</t>
  </si>
  <si>
    <t>One Thousand Two Hundred Forty Two and cents Sixty only</t>
  </si>
  <si>
    <t xml:space="preserve">Shipped per CMA CGM Legacy Voy 0WO3QE1MA </t>
  </si>
  <si>
    <t>Shipped per OOCL California Voy 177N</t>
  </si>
  <si>
    <t>Shipped per One Synergy Voy 002E</t>
  </si>
  <si>
    <t>from 1st October 2026</t>
  </si>
  <si>
    <t>DN202609-18</t>
  </si>
  <si>
    <t>S/I No. S26-8042-IO</t>
  </si>
  <si>
    <t>2 x 20'</t>
  </si>
  <si>
    <t xml:space="preserve">2 x 20' SMR20 as per photocopy of </t>
  </si>
  <si>
    <t>Invoice No. IVSE26090003</t>
  </si>
  <si>
    <t>Five Hundred Sixty Only</t>
  </si>
  <si>
    <t>Voy 2610W    Arrd</t>
  </si>
  <si>
    <t>B/L No. JJST2610W-BKI01</t>
  </si>
  <si>
    <t>(179/26</t>
  </si>
  <si>
    <t>Shipped per Zim Mount Vinson Voy 12E</t>
  </si>
  <si>
    <t>15 Metal Boxes to 1 Container</t>
  </si>
  <si>
    <t>B/L No. JJST2610W-BKI04</t>
  </si>
  <si>
    <t>(182/26</t>
  </si>
  <si>
    <t>Shipped per One Cygnus Voy 025E</t>
  </si>
  <si>
    <t>Oct 2026</t>
  </si>
  <si>
    <t>Four Thousand Four Hundred Twenty Two and cents Sixty only</t>
  </si>
  <si>
    <t>Six Thousand Six Hundred Thirty Three and cents Ninety only</t>
  </si>
  <si>
    <t>One Thousand One Hundred Five and cents Sixty Five only</t>
  </si>
  <si>
    <t>Eleven Thousand Seven Hundred Ninety Three And Cents Sixty only</t>
  </si>
  <si>
    <t>Five Thousand Eight Hundred Ninety Six and cents Eighty only</t>
  </si>
  <si>
    <t>DN202610-01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</si>
</sst>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64" formatCode="_(* #,##0.00_);_(* \(#,##0.00\);_(* &quot;-&quot;??_);_(@_)"/>
    <numFmt numFmtId="165" formatCode="mmm\ yyyy"/>
    <numFmt numFmtId="166" formatCode="#,##0.00_ ;[Red]\-#,##0.00\ "/>
  </numFmts>
  <fonts count="40" x14ac:knownFonts="1">
    <font>
      <sz val="10"/>
      <name val="Arial"/>
    </font>
    <font>
      <sz val="9"/>
      <name val="Tahoma"/>
      <family val="2"/>
    </font>
    <font>
      <b/>
      <sz val="9"/>
      <name val="Tahoma"/>
      <family val="2"/>
    </font>
    <font>
      <sz val="8"/>
      <name val="Tahoma"/>
      <family val="2"/>
    </font>
    <font>
      <b/>
      <sz val="16"/>
      <name val="Tahoma"/>
      <family val="2"/>
    </font>
    <font>
      <b/>
      <sz val="12"/>
      <name val="Tahoma"/>
      <family val="2"/>
    </font>
    <font>
      <sz val="8"/>
      <name val="Arial Narrow"/>
      <family val="2"/>
    </font>
    <font>
      <b/>
      <sz val="10"/>
      <name val="Tahoma"/>
      <family val="2"/>
    </font>
    <font>
      <sz val="10"/>
      <name val="Tahoma"/>
      <family val="2"/>
    </font>
    <font>
      <b/>
      <sz val="8"/>
      <name val="Arial Narrow"/>
      <family val="2"/>
    </font>
    <font>
      <sz val="8"/>
      <color indexed="12"/>
      <name val="Tahoma"/>
      <family val="2"/>
    </font>
    <font>
      <sz val="9"/>
      <color indexed="58"/>
      <name val="Tahoma"/>
      <family val="2"/>
    </font>
    <font>
      <b/>
      <sz val="16"/>
      <color indexed="58"/>
      <name val="Tahoma"/>
      <family val="2"/>
    </font>
    <font>
      <sz val="10"/>
      <color indexed="58"/>
      <name val="Arial"/>
      <family val="2"/>
    </font>
    <font>
      <b/>
      <sz val="10"/>
      <color indexed="58"/>
      <name val="Tahoma"/>
      <family val="2"/>
    </font>
    <font>
      <b/>
      <sz val="12"/>
      <color indexed="58"/>
      <name val="Tahoma"/>
      <family val="2"/>
    </font>
    <font>
      <sz val="10"/>
      <color indexed="58"/>
      <name val="Tahoma"/>
      <family val="2"/>
    </font>
    <font>
      <sz val="8"/>
      <color indexed="58"/>
      <name val="Tahoma"/>
      <family val="2"/>
    </font>
    <font>
      <b/>
      <sz val="9"/>
      <color indexed="58"/>
      <name val="Tahoma"/>
      <family val="2"/>
    </font>
    <font>
      <b/>
      <sz val="8"/>
      <color indexed="58"/>
      <name val="Tahoma"/>
      <family val="2"/>
    </font>
    <font>
      <sz val="8"/>
      <color indexed="58"/>
      <name val="Arial"/>
      <family val="2"/>
    </font>
    <font>
      <sz val="10"/>
      <name val="Arial"/>
      <family val="2"/>
    </font>
    <font>
      <sz val="8"/>
      <color indexed="58"/>
      <name val="Arial Narrow"/>
      <family val="2"/>
    </font>
    <font>
      <b/>
      <sz val="8"/>
      <color indexed="58"/>
      <name val="Arial Narrow"/>
      <family val="2"/>
    </font>
    <font>
      <b/>
      <sz val="10"/>
      <name val="Arial"/>
      <family val="2"/>
    </font>
    <font>
      <sz val="10"/>
      <color rgb="FF000000"/>
      <name val="Arial"/>
      <family val="2"/>
    </font>
    <font>
      <sz val="10"/>
      <color rgb="FF000000"/>
      <name val="Tahoma"/>
      <family val="2"/>
    </font>
    <font>
      <sz val="8"/>
      <color rgb="FF003300"/>
      <name val="Tahoma"/>
      <family val="2"/>
    </font>
    <font>
      <b/>
      <sz val="10"/>
      <color rgb="FF000000"/>
      <name val="Arial"/>
      <family val="2"/>
    </font>
    <font>
      <b/>
      <sz val="10"/>
      <name val="Arial"/>
      <family val="2"/>
    </font>
    <font>
      <b/>
      <u/>
      <sz val="10"/>
      <name val="Arial"/>
      <family val="2"/>
    </font>
    <font>
      <sz val="9"/>
      <color rgb="FFFF0000"/>
      <name val="Tahoma"/>
      <family val="2"/>
    </font>
    <font>
      <sz val="7"/>
      <color indexed="12"/>
      <name val="Tahoma"/>
      <family val="2"/>
    </font>
    <font>
      <sz val="10"/>
      <color indexed="12"/>
      <name val="Tahoma"/>
      <family val="2"/>
    </font>
    <font>
      <sz val="10"/>
      <name val="Arial Narrow"/>
      <family val="2"/>
    </font>
    <font>
      <sz val="10"/>
      <color rgb="FF003300"/>
      <name val="Tahoma"/>
      <family val="2"/>
    </font>
    <font>
      <u/>
      <sz val="10"/>
      <name val="Tahoma"/>
      <family val="2"/>
    </font>
    <font>
      <u/>
      <sz val="10"/>
      <color indexed="58"/>
      <name val="Tahoma"/>
      <family val="2"/>
    </font>
    <font>
      <sz val="8"/>
      <name val="Arial"/>
      <family val="2"/>
    </font>
    <font>
      <u/>
      <sz val="8"/>
      <color indexed="58"/>
      <name val="Tahoma"/>
      <family val="2"/>
    </font>
  </fonts>
  <fills count="3">
    <fill>
      <patternFill patternType="none"/>
    </fill>
    <fill>
      <patternFill patternType="gray125"/>
    </fill>
    <fill>
      <patternFill patternType="solid">
        <fgColor rgb="FFFFFF00"/>
        <bgColor indexed="64"/>
      </patternFill>
    </fill>
  </fills>
  <borders count="19">
    <border>
      <left/>
      <right/>
      <top/>
      <bottom/>
      <diagonal/>
    </border>
    <border>
      <left/>
      <right/>
      <top/>
      <bottom style="medium">
        <color indexed="64"/>
      </bottom>
      <diagonal/>
    </border>
    <border>
      <left/>
      <right/>
      <top/>
      <bottom style="thin">
        <color indexed="64"/>
      </bottom>
      <diagonal/>
    </border>
    <border>
      <left/>
      <right/>
      <top style="medium">
        <color indexed="64"/>
      </top>
      <bottom/>
      <diagonal/>
    </border>
    <border>
      <left/>
      <right style="thin">
        <color indexed="64"/>
      </right>
      <top/>
      <bottom/>
      <diagonal/>
    </border>
    <border>
      <left/>
      <right/>
      <top/>
      <bottom style="double">
        <color indexed="64"/>
      </bottom>
      <diagonal/>
    </border>
    <border>
      <left/>
      <right style="thin">
        <color indexed="64"/>
      </right>
      <top style="medium">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diagonal/>
    </border>
  </borders>
  <cellStyleXfs count="2">
    <xf numFmtId="0" fontId="0" fillId="0" borderId="0"/>
    <xf numFmtId="0" fontId="21" fillId="0" borderId="0"/>
  </cellStyleXfs>
  <cellXfs count="236">
    <xf numFmtId="0" fontId="0" fillId="0" borderId="0" xfId="0"/>
    <xf numFmtId="0" fontId="0" fillId="0" borderId="1" xfId="0" applyBorder="1"/>
    <xf numFmtId="0" fontId="1"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0" xfId="0" applyFont="1" applyAlignment="1">
      <alignment horizontal="center"/>
    </xf>
    <xf numFmtId="0" fontId="4" fillId="0" borderId="0" xfId="0" applyFont="1" applyAlignment="1">
      <alignment horizontal="center"/>
    </xf>
    <xf numFmtId="0" fontId="5" fillId="0" borderId="0" xfId="0" applyFont="1"/>
    <xf numFmtId="0" fontId="6" fillId="0" borderId="0" xfId="0" applyFont="1"/>
    <xf numFmtId="0" fontId="1" fillId="0" borderId="4" xfId="0" applyFont="1" applyBorder="1"/>
    <xf numFmtId="0" fontId="7" fillId="0" borderId="0" xfId="0" applyFont="1"/>
    <xf numFmtId="0" fontId="8" fillId="0" borderId="0" xfId="0" applyFont="1"/>
    <xf numFmtId="0" fontId="8" fillId="0" borderId="2" xfId="0" applyFont="1" applyBorder="1"/>
    <xf numFmtId="40" fontId="8" fillId="0" borderId="0" xfId="0" applyNumberFormat="1" applyFont="1"/>
    <xf numFmtId="40" fontId="8" fillId="0" borderId="2" xfId="0" applyNumberFormat="1" applyFont="1" applyBorder="1"/>
    <xf numFmtId="0" fontId="8" fillId="0" borderId="5" xfId="0" applyFont="1" applyBorder="1"/>
    <xf numFmtId="0" fontId="1" fillId="0" borderId="6" xfId="0" applyFont="1" applyBorder="1"/>
    <xf numFmtId="0" fontId="3" fillId="0" borderId="0" xfId="0" applyFont="1"/>
    <xf numFmtId="0" fontId="2" fillId="0" borderId="0" xfId="0" applyFont="1"/>
    <xf numFmtId="0" fontId="9" fillId="0" borderId="0" xfId="0" applyFont="1"/>
    <xf numFmtId="164" fontId="10" fillId="0" borderId="2" xfId="0" applyNumberFormat="1" applyFont="1" applyBorder="1"/>
    <xf numFmtId="164" fontId="10" fillId="0" borderId="7" xfId="0" applyNumberFormat="1" applyFont="1" applyBorder="1"/>
    <xf numFmtId="164" fontId="10" fillId="0" borderId="0" xfId="0" applyNumberFormat="1" applyFont="1"/>
    <xf numFmtId="0" fontId="11" fillId="0" borderId="0" xfId="0" applyFont="1"/>
    <xf numFmtId="0" fontId="12" fillId="0" borderId="0" xfId="0" applyFont="1" applyAlignment="1">
      <alignment horizontal="center"/>
    </xf>
    <xf numFmtId="0" fontId="13" fillId="0" borderId="0" xfId="0" applyFont="1"/>
    <xf numFmtId="0" fontId="11" fillId="0" borderId="0" xfId="0" applyFont="1" applyAlignment="1">
      <alignment horizontal="center"/>
    </xf>
    <xf numFmtId="0" fontId="14" fillId="0" borderId="0" xfId="0" applyFont="1"/>
    <xf numFmtId="0" fontId="16" fillId="0" borderId="0" xfId="0" applyFont="1"/>
    <xf numFmtId="49" fontId="16" fillId="0" borderId="0" xfId="0" applyNumberFormat="1" applyFont="1"/>
    <xf numFmtId="0" fontId="11" fillId="0" borderId="1" xfId="0" applyFont="1" applyBorder="1"/>
    <xf numFmtId="0" fontId="13" fillId="0" borderId="1" xfId="0" applyFont="1" applyBorder="1"/>
    <xf numFmtId="0" fontId="11" fillId="0" borderId="6" xfId="0" applyFont="1" applyBorder="1"/>
    <xf numFmtId="0" fontId="11" fillId="0" borderId="3" xfId="0" applyFont="1" applyBorder="1"/>
    <xf numFmtId="0" fontId="11" fillId="0" borderId="4" xfId="0" applyFont="1" applyBorder="1"/>
    <xf numFmtId="0" fontId="16" fillId="0" borderId="4" xfId="0" applyFont="1" applyBorder="1"/>
    <xf numFmtId="0" fontId="16" fillId="0" borderId="2" xfId="0" applyFont="1" applyBorder="1"/>
    <xf numFmtId="0" fontId="11" fillId="0" borderId="2" xfId="0" applyFont="1" applyBorder="1"/>
    <xf numFmtId="40" fontId="16" fillId="0" borderId="0" xfId="0" applyNumberFormat="1" applyFont="1"/>
    <xf numFmtId="40" fontId="16" fillId="0" borderId="4" xfId="0" applyNumberFormat="1" applyFont="1" applyBorder="1"/>
    <xf numFmtId="40" fontId="16" fillId="0" borderId="2" xfId="0" applyNumberFormat="1" applyFont="1" applyBorder="1"/>
    <xf numFmtId="0" fontId="16" fillId="0" borderId="5" xfId="0" applyFont="1" applyBorder="1"/>
    <xf numFmtId="0" fontId="17" fillId="0" borderId="0" xfId="0" applyFont="1"/>
    <xf numFmtId="0" fontId="18" fillId="0" borderId="0" xfId="0" applyFont="1"/>
    <xf numFmtId="0" fontId="19" fillId="0" borderId="0" xfId="0" applyFont="1" applyAlignment="1">
      <alignment horizontal="left"/>
    </xf>
    <xf numFmtId="40" fontId="17" fillId="0" borderId="0" xfId="0" applyNumberFormat="1" applyFont="1"/>
    <xf numFmtId="0" fontId="20" fillId="0" borderId="0" xfId="0" applyFont="1"/>
    <xf numFmtId="0" fontId="17" fillId="0" borderId="2" xfId="0" applyFont="1" applyBorder="1" applyAlignment="1">
      <alignment horizontal="left"/>
    </xf>
    <xf numFmtId="0" fontId="17" fillId="0" borderId="7" xfId="0" applyFont="1" applyBorder="1" applyAlignment="1">
      <alignment horizontal="left"/>
    </xf>
    <xf numFmtId="0" fontId="19" fillId="0" borderId="7" xfId="0" applyFont="1" applyBorder="1" applyAlignment="1">
      <alignment horizontal="left"/>
    </xf>
    <xf numFmtId="0" fontId="11" fillId="0" borderId="7" xfId="0" applyFont="1" applyBorder="1"/>
    <xf numFmtId="164" fontId="17" fillId="0" borderId="0" xfId="0" applyNumberFormat="1" applyFont="1"/>
    <xf numFmtId="0" fontId="19" fillId="0" borderId="2" xfId="0" applyFont="1" applyBorder="1" applyAlignment="1">
      <alignment horizontal="left"/>
    </xf>
    <xf numFmtId="0" fontId="17" fillId="0" borderId="7" xfId="0" applyFont="1" applyBorder="1"/>
    <xf numFmtId="164" fontId="10" fillId="0" borderId="2" xfId="0" quotePrefix="1" applyNumberFormat="1" applyFont="1" applyBorder="1"/>
    <xf numFmtId="0" fontId="1" fillId="0" borderId="0" xfId="0" applyFont="1" applyAlignment="1">
      <alignment horizontal="left"/>
    </xf>
    <xf numFmtId="0" fontId="8" fillId="0" borderId="0" xfId="0" quotePrefix="1" applyFont="1"/>
    <xf numFmtId="0" fontId="8" fillId="0" borderId="0" xfId="0" quotePrefix="1" applyFont="1" applyAlignment="1">
      <alignment horizontal="right"/>
    </xf>
    <xf numFmtId="2" fontId="1" fillId="0" borderId="0" xfId="0" applyNumberFormat="1" applyFont="1" applyAlignment="1">
      <alignment horizontal="center"/>
    </xf>
    <xf numFmtId="2" fontId="1" fillId="0" borderId="0" xfId="0" applyNumberFormat="1" applyFont="1" applyAlignment="1">
      <alignment horizontal="left"/>
    </xf>
    <xf numFmtId="164" fontId="20" fillId="0" borderId="0" xfId="0" applyNumberFormat="1" applyFont="1"/>
    <xf numFmtId="165" fontId="8" fillId="0" borderId="0" xfId="0" applyNumberFormat="1" applyFont="1"/>
    <xf numFmtId="0" fontId="1" fillId="0" borderId="0" xfId="1" applyFont="1"/>
    <xf numFmtId="0" fontId="4" fillId="0" borderId="0" xfId="1" applyFont="1" applyAlignment="1">
      <alignment horizontal="center"/>
    </xf>
    <xf numFmtId="0" fontId="21" fillId="0" borderId="0" xfId="1"/>
    <xf numFmtId="0" fontId="11" fillId="0" borderId="0" xfId="1" applyFont="1"/>
    <xf numFmtId="0" fontId="12" fillId="0" borderId="0" xfId="1" applyFont="1" applyAlignment="1">
      <alignment horizontal="center"/>
    </xf>
    <xf numFmtId="0" fontId="13" fillId="0" borderId="0" xfId="1" applyFont="1"/>
    <xf numFmtId="0" fontId="1" fillId="0" borderId="0" xfId="1" applyFont="1" applyAlignment="1">
      <alignment horizontal="center"/>
    </xf>
    <xf numFmtId="0" fontId="11" fillId="0" borderId="0" xfId="1" applyFont="1" applyAlignment="1">
      <alignment horizontal="center"/>
    </xf>
    <xf numFmtId="0" fontId="7" fillId="0" borderId="0" xfId="1" applyFont="1"/>
    <xf numFmtId="0" fontId="5" fillId="0" borderId="0" xfId="1" applyFont="1"/>
    <xf numFmtId="0" fontId="14" fillId="0" borderId="0" xfId="1" applyFont="1"/>
    <xf numFmtId="0" fontId="15" fillId="0" borderId="0" xfId="1" applyFont="1"/>
    <xf numFmtId="0" fontId="8" fillId="0" borderId="0" xfId="1" applyFont="1"/>
    <xf numFmtId="0" fontId="16" fillId="0" borderId="0" xfId="1" applyFont="1"/>
    <xf numFmtId="49" fontId="16" fillId="0" borderId="0" xfId="1" applyNumberFormat="1" applyFont="1"/>
    <xf numFmtId="0" fontId="1" fillId="0" borderId="1" xfId="1" applyFont="1" applyBorder="1"/>
    <xf numFmtId="0" fontId="21" fillId="0" borderId="1" xfId="1" applyBorder="1"/>
    <xf numFmtId="0" fontId="11" fillId="0" borderId="1" xfId="1" applyFont="1" applyBorder="1"/>
    <xf numFmtId="0" fontId="13" fillId="0" borderId="1" xfId="1" applyFont="1" applyBorder="1"/>
    <xf numFmtId="0" fontId="1" fillId="0" borderId="6" xfId="1" applyFont="1" applyBorder="1"/>
    <xf numFmtId="0" fontId="1" fillId="0" borderId="3" xfId="1" applyFont="1" applyBorder="1"/>
    <xf numFmtId="0" fontId="1" fillId="0" borderId="4" xfId="1" applyFont="1" applyBorder="1"/>
    <xf numFmtId="0" fontId="11" fillId="0" borderId="6" xfId="1" applyFont="1" applyBorder="1"/>
    <xf numFmtId="0" fontId="11" fillId="0" borderId="3" xfId="1" applyFont="1" applyBorder="1"/>
    <xf numFmtId="0" fontId="11" fillId="0" borderId="4" xfId="1" applyFont="1" applyBorder="1"/>
    <xf numFmtId="40" fontId="8" fillId="0" borderId="0" xfId="1" applyNumberFormat="1" applyFont="1"/>
    <xf numFmtId="40" fontId="8" fillId="0" borderId="4" xfId="1" applyNumberFormat="1" applyFont="1" applyBorder="1"/>
    <xf numFmtId="40" fontId="16" fillId="0" borderId="0" xfId="1" applyNumberFormat="1" applyFont="1"/>
    <xf numFmtId="40" fontId="16" fillId="0" borderId="4" xfId="1" applyNumberFormat="1" applyFont="1" applyBorder="1"/>
    <xf numFmtId="0" fontId="8" fillId="0" borderId="0" xfId="1" quotePrefix="1" applyFont="1"/>
    <xf numFmtId="0" fontId="16" fillId="0" borderId="0" xfId="1" quotePrefix="1" applyFont="1"/>
    <xf numFmtId="0" fontId="8" fillId="0" borderId="2" xfId="1" applyFont="1" applyBorder="1"/>
    <xf numFmtId="40" fontId="8" fillId="0" borderId="2" xfId="1" applyNumberFormat="1" applyFont="1" applyBorder="1"/>
    <xf numFmtId="0" fontId="16" fillId="0" borderId="2" xfId="1" applyFont="1" applyBorder="1"/>
    <xf numFmtId="40" fontId="16" fillId="0" borderId="2" xfId="1" applyNumberFormat="1" applyFont="1" applyBorder="1"/>
    <xf numFmtId="0" fontId="8" fillId="0" borderId="5" xfId="1" applyFont="1" applyBorder="1"/>
    <xf numFmtId="0" fontId="8" fillId="0" borderId="4" xfId="1" applyFont="1" applyBorder="1"/>
    <xf numFmtId="0" fontId="16" fillId="0" borderId="5" xfId="1" applyFont="1" applyBorder="1"/>
    <xf numFmtId="0" fontId="16" fillId="0" borderId="4" xfId="1" applyFont="1" applyBorder="1"/>
    <xf numFmtId="0" fontId="3" fillId="0" borderId="0" xfId="1" applyFont="1"/>
    <xf numFmtId="0" fontId="17" fillId="0" borderId="0" xfId="1" applyFont="1"/>
    <xf numFmtId="0" fontId="1" fillId="0" borderId="0" xfId="1" applyFont="1" applyAlignment="1">
      <alignment horizontal="right"/>
    </xf>
    <xf numFmtId="0" fontId="11" fillId="0" borderId="0" xfId="1" applyFont="1" applyAlignment="1">
      <alignment horizontal="right"/>
    </xf>
    <xf numFmtId="0" fontId="2" fillId="0" borderId="0" xfId="1" applyFont="1"/>
    <xf numFmtId="0" fontId="18" fillId="0" borderId="0" xfId="1" applyFont="1"/>
    <xf numFmtId="0" fontId="11" fillId="0" borderId="2" xfId="1" applyFont="1" applyBorder="1"/>
    <xf numFmtId="0" fontId="13" fillId="0" borderId="2" xfId="1" applyFont="1" applyBorder="1"/>
    <xf numFmtId="0" fontId="6" fillId="0" borderId="0" xfId="1" applyFont="1"/>
    <xf numFmtId="0" fontId="19" fillId="0" borderId="0" xfId="1" applyFont="1" applyAlignment="1">
      <alignment horizontal="left"/>
    </xf>
    <xf numFmtId="0" fontId="22" fillId="0" borderId="0" xfId="1" applyFont="1"/>
    <xf numFmtId="0" fontId="19" fillId="0" borderId="0" xfId="1" applyFont="1" applyAlignment="1">
      <alignment horizontal="right"/>
    </xf>
    <xf numFmtId="40" fontId="17" fillId="0" borderId="0" xfId="1" applyNumberFormat="1" applyFont="1"/>
    <xf numFmtId="0" fontId="20" fillId="0" borderId="0" xfId="1" applyFont="1"/>
    <xf numFmtId="0" fontId="17" fillId="0" borderId="0" xfId="1" applyFont="1" applyAlignment="1">
      <alignment horizontal="left"/>
    </xf>
    <xf numFmtId="164" fontId="10" fillId="0" borderId="0" xfId="1" applyNumberFormat="1" applyFont="1"/>
    <xf numFmtId="164" fontId="20" fillId="0" borderId="0" xfId="1" applyNumberFormat="1" applyFont="1"/>
    <xf numFmtId="0" fontId="23" fillId="0" borderId="0" xfId="1" applyFont="1"/>
    <xf numFmtId="0" fontId="19" fillId="0" borderId="2" xfId="1" applyFont="1" applyBorder="1"/>
    <xf numFmtId="0" fontId="19" fillId="0" borderId="0" xfId="1" applyFont="1"/>
    <xf numFmtId="0" fontId="9" fillId="0" borderId="0" xfId="1" applyFont="1"/>
    <xf numFmtId="164" fontId="17" fillId="0" borderId="0" xfId="1" applyNumberFormat="1" applyFont="1"/>
    <xf numFmtId="0" fontId="16" fillId="0" borderId="0" xfId="0" applyFont="1" applyAlignment="1">
      <alignment horizontal="right"/>
    </xf>
    <xf numFmtId="2" fontId="8" fillId="0" borderId="0" xfId="0" applyNumberFormat="1" applyFont="1" applyAlignment="1">
      <alignment horizontal="right"/>
    </xf>
    <xf numFmtId="2" fontId="16" fillId="0" borderId="0" xfId="0" applyNumberFormat="1" applyFont="1" applyAlignment="1">
      <alignment horizontal="right"/>
    </xf>
    <xf numFmtId="0" fontId="0" fillId="0" borderId="6" xfId="0" applyBorder="1"/>
    <xf numFmtId="0" fontId="0" fillId="0" borderId="4" xfId="0" applyBorder="1"/>
    <xf numFmtId="0" fontId="0" fillId="0" borderId="8" xfId="0" applyBorder="1"/>
    <xf numFmtId="0" fontId="21" fillId="0" borderId="8" xfId="0" applyFont="1" applyBorder="1"/>
    <xf numFmtId="166" fontId="8" fillId="0" borderId="0" xfId="1" applyNumberFormat="1" applyFont="1"/>
    <xf numFmtId="0" fontId="21" fillId="0" borderId="0" xfId="0" applyFont="1"/>
    <xf numFmtId="16" fontId="0" fillId="0" borderId="0" xfId="0" applyNumberFormat="1"/>
    <xf numFmtId="0" fontId="0" fillId="0" borderId="0" xfId="0" applyAlignment="1">
      <alignment horizontal="left"/>
    </xf>
    <xf numFmtId="0" fontId="8" fillId="0" borderId="0" xfId="1" applyFont="1" applyAlignment="1">
      <alignment horizontal="left"/>
    </xf>
    <xf numFmtId="0" fontId="26" fillId="0" borderId="0" xfId="0" applyFont="1"/>
    <xf numFmtId="0" fontId="26" fillId="0" borderId="0" xfId="1" applyFont="1"/>
    <xf numFmtId="0" fontId="27" fillId="0" borderId="7" xfId="0" applyFont="1" applyBorder="1" applyAlignment="1">
      <alignment horizontal="left"/>
    </xf>
    <xf numFmtId="0" fontId="25" fillId="0" borderId="8" xfId="0" applyFont="1" applyBorder="1" applyAlignment="1">
      <alignment vertical="center"/>
    </xf>
    <xf numFmtId="0" fontId="16" fillId="0" borderId="0" xfId="1" applyFont="1" applyAlignment="1">
      <alignment horizontal="left"/>
    </xf>
    <xf numFmtId="0" fontId="29" fillId="0" borderId="7" xfId="0" applyFont="1" applyBorder="1"/>
    <xf numFmtId="40" fontId="24" fillId="0" borderId="8" xfId="0" applyNumberFormat="1" applyFont="1" applyBorder="1"/>
    <xf numFmtId="0" fontId="31" fillId="0" borderId="0" xfId="0" applyFont="1"/>
    <xf numFmtId="0" fontId="8" fillId="0" borderId="0" xfId="0" applyFont="1" applyAlignment="1">
      <alignment horizontal="left"/>
    </xf>
    <xf numFmtId="165" fontId="8" fillId="0" borderId="0" xfId="0" applyNumberFormat="1" applyFont="1" applyAlignment="1">
      <alignment horizontal="left"/>
    </xf>
    <xf numFmtId="165" fontId="16" fillId="0" borderId="0" xfId="0" applyNumberFormat="1" applyFont="1" applyAlignment="1">
      <alignment horizontal="left"/>
    </xf>
    <xf numFmtId="0" fontId="16" fillId="0" borderId="0" xfId="0" applyFont="1" applyAlignment="1">
      <alignment horizontal="left"/>
    </xf>
    <xf numFmtId="0" fontId="26" fillId="0" borderId="0" xfId="0" applyFont="1" applyAlignment="1">
      <alignment horizontal="left"/>
    </xf>
    <xf numFmtId="0" fontId="11" fillId="0" borderId="0" xfId="0" applyFont="1" applyAlignment="1">
      <alignment horizontal="right"/>
    </xf>
    <xf numFmtId="0" fontId="1" fillId="0" borderId="0" xfId="0" applyFont="1" applyAlignment="1">
      <alignment horizontal="right"/>
    </xf>
    <xf numFmtId="165" fontId="16" fillId="0" borderId="0" xfId="1" applyNumberFormat="1" applyFont="1" applyAlignment="1">
      <alignment horizontal="left"/>
    </xf>
    <xf numFmtId="0" fontId="26" fillId="0" borderId="0" xfId="1" quotePrefix="1" applyFont="1"/>
    <xf numFmtId="0" fontId="26" fillId="0" borderId="0" xfId="0" applyFont="1" applyAlignment="1">
      <alignment horizontal="right"/>
    </xf>
    <xf numFmtId="4" fontId="0" fillId="0" borderId="8" xfId="0" applyNumberFormat="1" applyBorder="1" applyAlignment="1">
      <alignment vertical="center"/>
    </xf>
    <xf numFmtId="0" fontId="21" fillId="0" borderId="10" xfId="0" applyFont="1" applyBorder="1"/>
    <xf numFmtId="4" fontId="21" fillId="0" borderId="8" xfId="0" applyNumberFormat="1" applyFont="1" applyBorder="1" applyAlignment="1">
      <alignment vertical="center" wrapText="1"/>
    </xf>
    <xf numFmtId="4" fontId="0" fillId="0" borderId="9" xfId="0" applyNumberFormat="1" applyBorder="1"/>
    <xf numFmtId="0" fontId="21" fillId="0" borderId="11" xfId="0" applyFont="1" applyBorder="1"/>
    <xf numFmtId="165" fontId="11" fillId="0" borderId="0" xfId="1" applyNumberFormat="1" applyFont="1" applyAlignment="1">
      <alignment horizontal="left"/>
    </xf>
    <xf numFmtId="0" fontId="8" fillId="0" borderId="0" xfId="1" applyFont="1" applyAlignment="1">
      <alignment wrapText="1"/>
    </xf>
    <xf numFmtId="0" fontId="16" fillId="0" borderId="0" xfId="1" applyFont="1" applyAlignment="1">
      <alignment vertical="top" wrapText="1"/>
    </xf>
    <xf numFmtId="0" fontId="8" fillId="0" borderId="4" xfId="0" applyFont="1" applyBorder="1"/>
    <xf numFmtId="165" fontId="16" fillId="0" borderId="0" xfId="0" applyNumberFormat="1" applyFont="1"/>
    <xf numFmtId="4" fontId="1" fillId="0" borderId="0" xfId="0" applyNumberFormat="1" applyFont="1"/>
    <xf numFmtId="4" fontId="16" fillId="0" borderId="0" xfId="0" applyNumberFormat="1" applyFont="1"/>
    <xf numFmtId="0" fontId="16" fillId="0" borderId="0" xfId="1" applyFont="1" applyAlignment="1">
      <alignment wrapText="1"/>
    </xf>
    <xf numFmtId="0" fontId="16" fillId="0" borderId="0" xfId="1" applyFont="1" applyAlignment="1">
      <alignment vertical="top"/>
    </xf>
    <xf numFmtId="2" fontId="8" fillId="0" borderId="0" xfId="1" quotePrefix="1" applyNumberFormat="1" applyFont="1"/>
    <xf numFmtId="0" fontId="1" fillId="0" borderId="0" xfId="1" quotePrefix="1" applyFont="1"/>
    <xf numFmtId="0" fontId="8" fillId="0" borderId="12" xfId="1" applyFont="1" applyBorder="1"/>
    <xf numFmtId="40" fontId="8" fillId="0" borderId="12" xfId="1" applyNumberFormat="1" applyFont="1" applyBorder="1"/>
    <xf numFmtId="164" fontId="32" fillId="0" borderId="7" xfId="0" applyNumberFormat="1" applyFont="1" applyBorder="1"/>
    <xf numFmtId="164" fontId="32" fillId="0" borderId="2" xfId="0" applyNumberFormat="1" applyFont="1" applyBorder="1"/>
    <xf numFmtId="0" fontId="26" fillId="0" borderId="2" xfId="0" applyFont="1" applyBorder="1"/>
    <xf numFmtId="17" fontId="8" fillId="0" borderId="0" xfId="0" quotePrefix="1" applyNumberFormat="1" applyFont="1"/>
    <xf numFmtId="17" fontId="8" fillId="0" borderId="0" xfId="0" applyNumberFormat="1" applyFont="1"/>
    <xf numFmtId="4" fontId="0" fillId="0" borderId="0" xfId="0" applyNumberFormat="1"/>
    <xf numFmtId="4" fontId="0" fillId="0" borderId="8" xfId="0" applyNumberFormat="1" applyBorder="1"/>
    <xf numFmtId="0" fontId="21" fillId="0" borderId="9" xfId="0" applyFont="1" applyBorder="1"/>
    <xf numFmtId="4" fontId="0" fillId="0" borderId="14" xfId="0" applyNumberFormat="1" applyBorder="1"/>
    <xf numFmtId="4" fontId="0" fillId="0" borderId="4" xfId="0" applyNumberFormat="1" applyBorder="1"/>
    <xf numFmtId="0" fontId="0" fillId="0" borderId="10" xfId="0" applyBorder="1"/>
    <xf numFmtId="0" fontId="21" fillId="0" borderId="15" xfId="0" applyFont="1" applyBorder="1"/>
    <xf numFmtId="4" fontId="0" fillId="0" borderId="16" xfId="0" applyNumberFormat="1" applyBorder="1"/>
    <xf numFmtId="4" fontId="21" fillId="0" borderId="14" xfId="0" applyNumberFormat="1" applyFont="1" applyBorder="1"/>
    <xf numFmtId="4" fontId="0" fillId="0" borderId="13" xfId="0" applyNumberFormat="1" applyBorder="1"/>
    <xf numFmtId="4" fontId="0" fillId="0" borderId="17" xfId="0" applyNumberFormat="1" applyBorder="1"/>
    <xf numFmtId="4" fontId="0" fillId="0" borderId="18" xfId="0" applyNumberFormat="1" applyBorder="1"/>
    <xf numFmtId="4" fontId="0" fillId="0" borderId="11" xfId="0" applyNumberFormat="1" applyBorder="1"/>
    <xf numFmtId="0" fontId="8" fillId="0" borderId="0" xfId="0" applyFont="1" applyAlignment="1">
      <alignment horizontal="right"/>
    </xf>
    <xf numFmtId="164" fontId="33" fillId="0" borderId="0" xfId="0" applyNumberFormat="1" applyFont="1"/>
    <xf numFmtId="0" fontId="34" fillId="0" borderId="0" xfId="0" applyFont="1"/>
    <xf numFmtId="164" fontId="8" fillId="0" borderId="0" xfId="0" applyNumberFormat="1" applyFont="1" applyAlignment="1">
      <alignment horizontal="right" vertical="center"/>
    </xf>
    <xf numFmtId="164" fontId="16" fillId="0" borderId="0" xfId="0" applyNumberFormat="1" applyFont="1"/>
    <xf numFmtId="0" fontId="35" fillId="0" borderId="0" xfId="0" applyFont="1" applyAlignment="1">
      <alignment horizontal="left"/>
    </xf>
    <xf numFmtId="0" fontId="17" fillId="0" borderId="0" xfId="0" applyFont="1" applyAlignment="1">
      <alignment horizontal="left"/>
    </xf>
    <xf numFmtId="0" fontId="17" fillId="0" borderId="0" xfId="0" applyFont="1" applyAlignment="1">
      <alignment horizontal="left" vertical="top"/>
    </xf>
    <xf numFmtId="0" fontId="30" fillId="0" borderId="14" xfId="0" applyFont="1" applyBorder="1"/>
    <xf numFmtId="2" fontId="1" fillId="0" borderId="0" xfId="0" applyNumberFormat="1" applyFont="1"/>
    <xf numFmtId="0" fontId="8" fillId="0" borderId="12" xfId="0" applyFont="1" applyBorder="1"/>
    <xf numFmtId="40" fontId="8" fillId="0" borderId="12" xfId="0" applyNumberFormat="1" applyFont="1" applyBorder="1"/>
    <xf numFmtId="40" fontId="8" fillId="0" borderId="5" xfId="0" applyNumberFormat="1" applyFont="1" applyBorder="1"/>
    <xf numFmtId="0" fontId="36" fillId="0" borderId="0" xfId="0" applyFont="1"/>
    <xf numFmtId="0" fontId="37" fillId="0" borderId="0" xfId="0" applyFont="1"/>
    <xf numFmtId="4" fontId="21" fillId="0" borderId="9" xfId="0" applyNumberFormat="1" applyFont="1" applyBorder="1"/>
    <xf numFmtId="8" fontId="0" fillId="0" borderId="0" xfId="0" applyNumberFormat="1"/>
    <xf numFmtId="2" fontId="16" fillId="0" borderId="0" xfId="0" applyNumberFormat="1" applyFont="1"/>
    <xf numFmtId="0" fontId="39" fillId="0" borderId="0" xfId="0" applyFont="1"/>
    <xf numFmtId="0" fontId="11" fillId="0" borderId="0" xfId="0" applyFont="1" applyAlignment="1">
      <alignment horizontal="right"/>
    </xf>
    <xf numFmtId="0" fontId="1" fillId="0" borderId="0" xfId="0" applyFont="1" applyAlignment="1">
      <alignment horizontal="right"/>
    </xf>
    <xf numFmtId="165" fontId="8" fillId="0" borderId="0" xfId="0" applyNumberFormat="1" applyFont="1" applyAlignment="1">
      <alignment horizontal="left"/>
    </xf>
    <xf numFmtId="165" fontId="16" fillId="0" borderId="0" xfId="0" applyNumberFormat="1" applyFont="1" applyAlignment="1">
      <alignment horizontal="left"/>
    </xf>
    <xf numFmtId="0" fontId="26" fillId="0" borderId="0" xfId="0" applyFont="1" applyAlignment="1">
      <alignment horizontal="left"/>
    </xf>
    <xf numFmtId="0" fontId="16"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15" fillId="0" borderId="0" xfId="0" applyFont="1" applyAlignment="1">
      <alignment horizontal="left"/>
    </xf>
    <xf numFmtId="0" fontId="1" fillId="0" borderId="0" xfId="0" quotePrefix="1" applyFont="1" applyAlignment="1">
      <alignment horizontal="left"/>
    </xf>
    <xf numFmtId="0" fontId="8" fillId="0" borderId="0" xfId="1" applyFont="1" applyAlignment="1">
      <alignment horizontal="left" wrapText="1"/>
    </xf>
    <xf numFmtId="0" fontId="16" fillId="0" borderId="0" xfId="1" applyFont="1" applyAlignment="1">
      <alignment horizontal="left" wrapText="1"/>
    </xf>
    <xf numFmtId="0" fontId="8" fillId="0" borderId="0" xfId="0" applyFont="1" applyAlignment="1">
      <alignment horizontal="right"/>
    </xf>
    <xf numFmtId="0" fontId="8" fillId="0" borderId="0" xfId="0" quotePrefix="1" applyFont="1" applyAlignment="1">
      <alignment horizontal="center"/>
    </xf>
    <xf numFmtId="0" fontId="8" fillId="0" borderId="0" xfId="0" applyFont="1" applyAlignment="1">
      <alignment horizontal="center"/>
    </xf>
    <xf numFmtId="0" fontId="16" fillId="0" borderId="0" xfId="0" applyFont="1" applyAlignment="1">
      <alignment horizontal="right"/>
    </xf>
    <xf numFmtId="4" fontId="8" fillId="0" borderId="0" xfId="1" quotePrefix="1" applyNumberFormat="1" applyFont="1" applyAlignment="1">
      <alignment horizontal="left"/>
    </xf>
    <xf numFmtId="4" fontId="8" fillId="0" borderId="0" xfId="1" applyNumberFormat="1" applyFont="1" applyAlignment="1">
      <alignment horizontal="left"/>
    </xf>
    <xf numFmtId="2" fontId="16" fillId="0" borderId="0" xfId="1" applyNumberFormat="1" applyFont="1" applyAlignment="1">
      <alignment horizontal="left"/>
    </xf>
    <xf numFmtId="0" fontId="16" fillId="0" borderId="0" xfId="1" quotePrefix="1" applyFont="1" applyAlignment="1">
      <alignment horizontal="left"/>
    </xf>
    <xf numFmtId="0" fontId="1" fillId="0" borderId="0" xfId="0" applyFont="1" applyAlignment="1">
      <alignment horizontal="left"/>
    </xf>
    <xf numFmtId="17" fontId="28" fillId="0" borderId="8" xfId="0" quotePrefix="1" applyNumberFormat="1" applyFont="1" applyBorder="1" applyAlignment="1">
      <alignment horizontal="left"/>
    </xf>
    <xf numFmtId="17" fontId="24" fillId="0" borderId="9" xfId="0" quotePrefix="1" applyNumberFormat="1" applyFont="1" applyBorder="1" applyAlignment="1">
      <alignment horizontal="left"/>
    </xf>
    <xf numFmtId="2" fontId="1" fillId="2" borderId="0" xfId="0" applyNumberFormat="1" applyFont="1" applyFill="1" applyAlignment="1">
      <alignment horizontal="left"/>
    </xf>
    <xf numFmtId="2" fontId="1" fillId="0" borderId="0" xfId="0" applyNumberFormat="1" applyFont="1" applyFill="1" applyAlignment="1">
      <alignment horizontal="left"/>
    </xf>
    <xf numFmtId="0" fontId="17" fillId="0" borderId="0" xfId="0" applyFont="1" applyFill="1"/>
    <xf numFmtId="4" fontId="0" fillId="0" borderId="9" xfId="0" applyNumberFormat="1" applyFill="1" applyBorder="1"/>
  </cellXfs>
  <cellStyles count="2">
    <cellStyle name="Normal" xfId="0" builtinId="0"/>
    <cellStyle name="Normal 2" xfId="1" xr:uid="{8EC69299-691C-4CDF-BD04-5439DF04D1BB}"/>
  </cellStyles>
  <dxfs count="0"/>
  <tableStyles count="0" defaultTableStyle="TableStyleMedium2" defaultPivotStyle="PivotStyleLight16"/>
  <colors>
    <mruColors>
      <color rgb="FF9966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36"/>
  <sheetViews>
    <sheetView zoomScaleNormal="100" workbookViewId="0">
      <selection activeCell="I2" sqref="I2:I9"/>
    </sheetView>
  </sheetViews>
  <sheetFormatPr defaultColWidth="9" defaultRowHeight="12.75" x14ac:dyDescent="0.2"/>
  <cols>
    <col min="1" max="1" width="25.28515625" style="12" customWidth="1"/>
    <col min="2" max="2" width="25.5703125" style="12" customWidth="1"/>
    <col min="3" max="3" width="9" style="12"/>
    <col min="4" max="4" width="30" style="12" bestFit="1" customWidth="1"/>
    <col min="5" max="5" width="13.85546875" style="12" bestFit="1" customWidth="1"/>
    <col min="6" max="6" width="7.5703125" style="12" bestFit="1" customWidth="1"/>
    <col min="7" max="7" width="28.140625" style="12" bestFit="1" customWidth="1"/>
    <col min="8" max="8" width="7.28515625" style="12" customWidth="1"/>
    <col min="9" max="9" width="12.28515625" style="12" customWidth="1"/>
    <col min="10" max="16384" width="9" style="12"/>
  </cols>
  <sheetData>
    <row r="2" spans="1:9" x14ac:dyDescent="0.2">
      <c r="A2" s="12" t="s">
        <v>0</v>
      </c>
      <c r="B2" s="12" t="s">
        <v>136</v>
      </c>
      <c r="C2" s="12">
        <v>8</v>
      </c>
      <c r="D2" s="12" t="s">
        <v>1</v>
      </c>
      <c r="E2" s="12" t="s">
        <v>2</v>
      </c>
      <c r="F2" s="12" t="s">
        <v>3</v>
      </c>
      <c r="G2" s="12" t="s">
        <v>98</v>
      </c>
      <c r="H2" s="12">
        <v>1</v>
      </c>
      <c r="I2" s="62">
        <v>46259</v>
      </c>
    </row>
    <row r="3" spans="1:9" x14ac:dyDescent="0.2">
      <c r="A3" s="12" t="s">
        <v>4</v>
      </c>
      <c r="B3" s="12" t="s">
        <v>237</v>
      </c>
      <c r="C3" s="12">
        <v>15</v>
      </c>
      <c r="D3" s="12" t="s">
        <v>5</v>
      </c>
      <c r="E3" s="12" t="s">
        <v>6</v>
      </c>
      <c r="F3" s="12" t="s">
        <v>7</v>
      </c>
      <c r="G3" s="12" t="s">
        <v>99</v>
      </c>
      <c r="H3" s="12">
        <v>2</v>
      </c>
      <c r="I3" s="62">
        <v>46290</v>
      </c>
    </row>
    <row r="4" spans="1:9" x14ac:dyDescent="0.2">
      <c r="A4" s="12" t="s">
        <v>8</v>
      </c>
      <c r="C4" s="12">
        <v>16</v>
      </c>
      <c r="E4" s="12" t="s">
        <v>9</v>
      </c>
      <c r="F4" s="12" t="s">
        <v>10</v>
      </c>
      <c r="G4" s="12" t="s">
        <v>87</v>
      </c>
      <c r="H4" s="12">
        <v>3</v>
      </c>
      <c r="I4" s="62">
        <v>46320</v>
      </c>
    </row>
    <row r="5" spans="1:9" x14ac:dyDescent="0.2">
      <c r="A5" s="12" t="s">
        <v>11</v>
      </c>
      <c r="C5" s="12">
        <v>32</v>
      </c>
      <c r="G5" s="12" t="s">
        <v>88</v>
      </c>
      <c r="H5" s="12">
        <v>4</v>
      </c>
      <c r="I5" s="62">
        <v>46351</v>
      </c>
    </row>
    <row r="6" spans="1:9" x14ac:dyDescent="0.2">
      <c r="A6" s="12" t="s">
        <v>12</v>
      </c>
      <c r="C6" s="12">
        <v>48</v>
      </c>
      <c r="G6" s="12" t="s">
        <v>89</v>
      </c>
      <c r="H6" s="12">
        <v>5</v>
      </c>
      <c r="I6" s="62">
        <v>46381</v>
      </c>
    </row>
    <row r="7" spans="1:9" x14ac:dyDescent="0.2">
      <c r="C7" s="12">
        <v>60</v>
      </c>
      <c r="G7" s="12" t="s">
        <v>90</v>
      </c>
      <c r="H7" s="12">
        <v>6</v>
      </c>
      <c r="I7" s="62">
        <v>46412</v>
      </c>
    </row>
    <row r="8" spans="1:9" x14ac:dyDescent="0.2">
      <c r="C8" s="12">
        <v>64</v>
      </c>
      <c r="G8" s="12" t="s">
        <v>91</v>
      </c>
      <c r="H8" s="12">
        <v>7</v>
      </c>
      <c r="I8" s="62">
        <v>46443</v>
      </c>
    </row>
    <row r="9" spans="1:9" x14ac:dyDescent="0.2">
      <c r="C9" s="12">
        <v>80</v>
      </c>
      <c r="G9" s="12" t="s">
        <v>92</v>
      </c>
      <c r="H9" s="12">
        <v>8</v>
      </c>
      <c r="I9" s="62">
        <v>46471</v>
      </c>
    </row>
    <row r="10" spans="1:9" x14ac:dyDescent="0.2">
      <c r="C10" s="12">
        <v>90</v>
      </c>
      <c r="G10" s="12" t="s">
        <v>93</v>
      </c>
      <c r="H10" s="12">
        <v>9</v>
      </c>
      <c r="I10" s="62">
        <v>46502</v>
      </c>
    </row>
    <row r="11" spans="1:9" x14ac:dyDescent="0.2">
      <c r="C11" s="12">
        <v>96</v>
      </c>
      <c r="G11" s="12" t="s">
        <v>84</v>
      </c>
      <c r="H11" s="12">
        <v>10</v>
      </c>
      <c r="I11" s="62">
        <v>46532</v>
      </c>
    </row>
    <row r="12" spans="1:9" x14ac:dyDescent="0.2">
      <c r="C12" s="12">
        <v>112</v>
      </c>
      <c r="G12" s="12" t="s">
        <v>109</v>
      </c>
      <c r="H12" s="12">
        <v>11</v>
      </c>
      <c r="I12" s="62">
        <v>46563</v>
      </c>
    </row>
    <row r="13" spans="1:9" x14ac:dyDescent="0.2">
      <c r="C13" s="12">
        <v>120</v>
      </c>
      <c r="G13" s="12" t="s">
        <v>86</v>
      </c>
      <c r="H13" s="12">
        <v>12</v>
      </c>
      <c r="I13" s="62">
        <v>46593</v>
      </c>
    </row>
    <row r="14" spans="1:9" x14ac:dyDescent="0.2">
      <c r="C14" s="12">
        <v>144</v>
      </c>
      <c r="G14" s="12" t="s">
        <v>277</v>
      </c>
      <c r="H14" s="12">
        <v>13</v>
      </c>
      <c r="I14" s="62">
        <v>46624</v>
      </c>
    </row>
    <row r="15" spans="1:9" x14ac:dyDescent="0.2">
      <c r="C15" s="12">
        <v>160</v>
      </c>
      <c r="G15" s="12" t="s">
        <v>85</v>
      </c>
      <c r="H15" s="12">
        <v>14</v>
      </c>
      <c r="I15" s="62">
        <v>46655</v>
      </c>
    </row>
    <row r="16" spans="1:9" x14ac:dyDescent="0.2">
      <c r="C16" s="12">
        <v>240</v>
      </c>
      <c r="G16" s="12" t="s">
        <v>94</v>
      </c>
      <c r="H16" s="12">
        <v>15</v>
      </c>
      <c r="I16" s="62">
        <v>46685</v>
      </c>
    </row>
    <row r="17" spans="7:9" x14ac:dyDescent="0.2">
      <c r="G17" s="12" t="s">
        <v>108</v>
      </c>
      <c r="H17" s="12">
        <v>16</v>
      </c>
      <c r="I17" s="62">
        <v>46716</v>
      </c>
    </row>
    <row r="18" spans="7:9" x14ac:dyDescent="0.2">
      <c r="G18" s="12" t="s">
        <v>83</v>
      </c>
      <c r="H18" s="12">
        <v>17</v>
      </c>
    </row>
    <row r="19" spans="7:9" x14ac:dyDescent="0.2">
      <c r="G19" s="12" t="s">
        <v>95</v>
      </c>
      <c r="H19" s="12">
        <v>18</v>
      </c>
    </row>
    <row r="20" spans="7:9" x14ac:dyDescent="0.2">
      <c r="G20" s="12" t="s">
        <v>82</v>
      </c>
      <c r="H20" s="12">
        <v>19</v>
      </c>
    </row>
    <row r="21" spans="7:9" x14ac:dyDescent="0.2">
      <c r="G21" s="12" t="s">
        <v>81</v>
      </c>
      <c r="H21" s="12">
        <v>20</v>
      </c>
    </row>
    <row r="22" spans="7:9" x14ac:dyDescent="0.2">
      <c r="G22" s="12" t="s">
        <v>201</v>
      </c>
      <c r="H22" s="12">
        <v>21</v>
      </c>
    </row>
    <row r="23" spans="7:9" x14ac:dyDescent="0.2">
      <c r="G23" s="12" t="s">
        <v>202</v>
      </c>
      <c r="H23" s="12">
        <v>22</v>
      </c>
    </row>
    <row r="24" spans="7:9" x14ac:dyDescent="0.2">
      <c r="G24" s="12" t="s">
        <v>216</v>
      </c>
      <c r="H24" s="12">
        <v>23</v>
      </c>
    </row>
    <row r="25" spans="7:9" x14ac:dyDescent="0.2">
      <c r="G25" s="12" t="s">
        <v>96</v>
      </c>
      <c r="H25" s="12">
        <v>24</v>
      </c>
    </row>
    <row r="26" spans="7:9" x14ac:dyDescent="0.2">
      <c r="G26" s="136" t="s">
        <v>97</v>
      </c>
      <c r="H26" s="12">
        <v>25</v>
      </c>
    </row>
    <row r="27" spans="7:9" x14ac:dyDescent="0.2">
      <c r="G27" s="12" t="s">
        <v>13</v>
      </c>
      <c r="H27" s="12">
        <v>26</v>
      </c>
    </row>
    <row r="28" spans="7:9" x14ac:dyDescent="0.2">
      <c r="G28" s="12" t="s">
        <v>80</v>
      </c>
      <c r="H28" s="12">
        <v>27</v>
      </c>
    </row>
    <row r="29" spans="7:9" x14ac:dyDescent="0.2">
      <c r="G29" s="12" t="s">
        <v>79</v>
      </c>
      <c r="H29" s="12">
        <v>28</v>
      </c>
    </row>
    <row r="30" spans="7:9" x14ac:dyDescent="0.2">
      <c r="G30" s="12" t="s">
        <v>78</v>
      </c>
      <c r="H30" s="12">
        <v>29</v>
      </c>
    </row>
    <row r="31" spans="7:9" x14ac:dyDescent="0.2">
      <c r="G31" s="12" t="s">
        <v>77</v>
      </c>
      <c r="H31" s="12">
        <v>30</v>
      </c>
    </row>
    <row r="32" spans="7:9" x14ac:dyDescent="0.2">
      <c r="G32" s="136" t="s">
        <v>76</v>
      </c>
      <c r="H32" s="12">
        <v>31</v>
      </c>
    </row>
    <row r="33" spans="7:7" x14ac:dyDescent="0.2">
      <c r="G33" s="12" t="s">
        <v>75</v>
      </c>
    </row>
    <row r="34" spans="7:7" x14ac:dyDescent="0.2">
      <c r="G34" s="12" t="s">
        <v>74</v>
      </c>
    </row>
    <row r="35" spans="7:7" x14ac:dyDescent="0.2">
      <c r="G35" s="12" t="s">
        <v>73</v>
      </c>
    </row>
    <row r="36" spans="7:7" x14ac:dyDescent="0.2">
      <c r="G36" s="12" t="s">
        <v>72</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023E2-C28F-4659-807E-ADCBE97F09ED}">
  <sheetPr codeName="Sheet28">
    <tabColor rgb="FFFFFF00"/>
    <pageSetUpPr fitToPage="1"/>
  </sheetPr>
  <dimension ref="A1:AF63"/>
  <sheetViews>
    <sheetView zoomScaleNormal="100" workbookViewId="0">
      <selection activeCell="C23" sqref="C23"/>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8.28515625"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2.7109375"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8.28515625"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2.7109375" style="65" customWidth="1"/>
    <col min="30" max="30" width="10.7109375" style="65" customWidth="1"/>
    <col min="31" max="31" width="1.7109375" style="65" customWidth="1"/>
    <col min="32" max="32" width="5.7109375" style="65" customWidth="1"/>
    <col min="33" max="256" width="9.14062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9.14062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9.14062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9.14062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9.14062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9.14062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9.14062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9.14062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9.14062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9.14062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9.14062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9.14062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9.14062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9.14062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9.14062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9.14062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9.14062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9.14062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9.14062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9.14062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9.14062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9.14062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9.14062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9.14062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9.14062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9.14062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9.14062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9.14062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9.14062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9.14062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9.14062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9.14062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9.14062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9.14062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9.14062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9.14062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9.14062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9.14062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9.14062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9.14062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9.14062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9.14062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9.14062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9.14062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9.14062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9.14062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9.14062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9.14062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9.14062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9.14062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9.14062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9.14062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9.14062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9.14062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9.14062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9.14062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9.14062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9.14062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9.14062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9.14062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9.14062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9.14062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9.14062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9.14062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100</v>
      </c>
      <c r="L7" s="72" t="s">
        <v>17</v>
      </c>
      <c r="Q7" s="66"/>
      <c r="R7" s="66"/>
      <c r="S7" s="73" t="str">
        <f>C7</f>
        <v>Jesselton Shipping (2012) Pte Ltd</v>
      </c>
      <c r="T7" s="66"/>
      <c r="U7" s="66"/>
      <c r="V7" s="66"/>
      <c r="W7" s="66"/>
      <c r="X7" s="66"/>
      <c r="Y7" s="66"/>
      <c r="Z7" s="66"/>
      <c r="AA7" s="66"/>
      <c r="AB7" s="74" t="s">
        <v>17</v>
      </c>
      <c r="AC7" s="66"/>
      <c r="AD7" s="66"/>
      <c r="AE7" s="66"/>
      <c r="AF7" s="68"/>
    </row>
    <row r="8" spans="1:32" x14ac:dyDescent="0.2">
      <c r="C8" s="75" t="s">
        <v>101</v>
      </c>
      <c r="Q8" s="66"/>
      <c r="R8" s="66"/>
      <c r="S8" s="76" t="str">
        <f>C8</f>
        <v xml:space="preserve">2 Boon Leat Terrace </v>
      </c>
      <c r="T8" s="66"/>
      <c r="U8" s="66"/>
      <c r="V8" s="66"/>
      <c r="W8" s="66"/>
      <c r="X8" s="66"/>
      <c r="Y8" s="66"/>
      <c r="Z8" s="66"/>
      <c r="AA8" s="66"/>
      <c r="AB8" s="66"/>
      <c r="AC8" s="66"/>
      <c r="AD8" s="66"/>
      <c r="AE8" s="66"/>
      <c r="AF8" s="68"/>
    </row>
    <row r="9" spans="1:32" x14ac:dyDescent="0.2">
      <c r="C9" s="75" t="s">
        <v>102</v>
      </c>
      <c r="L9" s="75" t="s">
        <v>18</v>
      </c>
      <c r="M9" s="137" t="s">
        <v>103</v>
      </c>
      <c r="Q9" s="66"/>
      <c r="R9" s="66"/>
      <c r="S9" s="76" t="str">
        <f>C9</f>
        <v>#08-01 Harbourside Building 2</v>
      </c>
      <c r="T9" s="66"/>
      <c r="U9" s="66"/>
      <c r="V9" s="66"/>
      <c r="W9" s="66"/>
      <c r="X9" s="66"/>
      <c r="Y9" s="66"/>
      <c r="Z9" s="66"/>
      <c r="AA9" s="66"/>
      <c r="AB9" s="76" t="s">
        <v>18</v>
      </c>
      <c r="AC9" s="76" t="str">
        <f>M9</f>
        <v>DN2020xx-xx</v>
      </c>
      <c r="AD9" s="66"/>
      <c r="AE9" s="66"/>
      <c r="AF9" s="68"/>
    </row>
    <row r="10" spans="1:32" x14ac:dyDescent="0.2">
      <c r="C10" s="75" t="s">
        <v>104</v>
      </c>
      <c r="Q10" s="66"/>
      <c r="R10" s="66"/>
      <c r="S10" s="76" t="str">
        <f>C10</f>
        <v>Singapore 119844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14</v>
      </c>
      <c r="N12" s="145">
        <v>44105</v>
      </c>
      <c r="Q12" s="66"/>
      <c r="R12" s="66"/>
      <c r="S12" s="76"/>
      <c r="T12" s="66"/>
      <c r="U12" s="66"/>
      <c r="V12" s="66"/>
      <c r="W12" s="66"/>
      <c r="X12" s="66"/>
      <c r="Y12" s="66"/>
      <c r="Z12" s="66"/>
      <c r="AA12" s="66"/>
      <c r="AB12" s="140" t="s">
        <v>19</v>
      </c>
      <c r="AC12" s="77">
        <f>M12</f>
        <v>14</v>
      </c>
      <c r="AD12" s="159">
        <f>N12</f>
        <v>44105</v>
      </c>
      <c r="AE12" s="66"/>
      <c r="AF12" s="68"/>
    </row>
    <row r="13" spans="1:32" ht="12.6" customHeight="1" x14ac:dyDescent="0.2">
      <c r="Q13" s="66"/>
      <c r="R13" s="66"/>
      <c r="S13" s="66"/>
      <c r="T13" s="66"/>
      <c r="U13" s="66"/>
      <c r="V13" s="66"/>
      <c r="W13" s="66"/>
      <c r="X13" s="66"/>
      <c r="Y13" s="66"/>
      <c r="Z13" s="66"/>
      <c r="AA13" s="66"/>
      <c r="AB13" s="66"/>
      <c r="AC13" s="66"/>
      <c r="AD13" s="66"/>
      <c r="AE13" s="66"/>
      <c r="AF13" s="68"/>
    </row>
    <row r="14" spans="1:32" ht="12.6"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ht="12.75" customHeight="1" x14ac:dyDescent="0.2">
      <c r="A15" s="82"/>
      <c r="M15" s="83"/>
      <c r="N15" s="83"/>
      <c r="O15" s="84"/>
      <c r="Q15" s="85"/>
      <c r="R15" s="66"/>
      <c r="S15" s="66"/>
      <c r="T15" s="66"/>
      <c r="U15" s="66"/>
      <c r="V15" s="66"/>
      <c r="W15" s="66"/>
      <c r="X15" s="66"/>
      <c r="Y15" s="66"/>
      <c r="Z15" s="66"/>
      <c r="AA15" s="66"/>
      <c r="AB15" s="66"/>
      <c r="AC15" s="86"/>
      <c r="AD15" s="86"/>
      <c r="AE15" s="87"/>
      <c r="AF15" s="68"/>
    </row>
    <row r="16" spans="1:32" ht="12.75" customHeight="1" x14ac:dyDescent="0.2">
      <c r="A16" s="84"/>
      <c r="O16" s="84"/>
      <c r="Q16" s="87"/>
      <c r="R16" s="66"/>
      <c r="S16" s="66"/>
      <c r="T16" s="66"/>
      <c r="U16" s="66"/>
      <c r="V16" s="66"/>
      <c r="W16" s="66"/>
      <c r="X16" s="66"/>
      <c r="Y16" s="66"/>
      <c r="Z16" s="66"/>
      <c r="AA16" s="66"/>
      <c r="AB16" s="66"/>
      <c r="AC16" s="66"/>
      <c r="AD16" s="66"/>
      <c r="AE16" s="87"/>
      <c r="AF16" s="68"/>
    </row>
    <row r="17" spans="1:32" ht="12.75" customHeight="1" x14ac:dyDescent="0.2">
      <c r="A17" s="84"/>
      <c r="O17" s="84"/>
      <c r="Q17" s="87"/>
      <c r="R17" s="66"/>
      <c r="S17" s="66"/>
      <c r="T17" s="66"/>
      <c r="U17" s="66"/>
      <c r="V17" s="66"/>
      <c r="W17" s="66"/>
      <c r="X17" s="66"/>
      <c r="Y17" s="66"/>
      <c r="Z17" s="66"/>
      <c r="AA17" s="66"/>
      <c r="AB17" s="66"/>
      <c r="AC17" s="66"/>
      <c r="AD17" s="66"/>
      <c r="AE17" s="87"/>
      <c r="AF17" s="68"/>
    </row>
    <row r="18" spans="1:32" ht="12.75" customHeight="1" x14ac:dyDescent="0.2">
      <c r="A18" s="84"/>
      <c r="C18" s="219" t="s">
        <v>105</v>
      </c>
      <c r="D18" s="219"/>
      <c r="E18" s="219"/>
      <c r="F18" s="219"/>
      <c r="G18" s="219"/>
      <c r="H18" s="219"/>
      <c r="I18" s="219"/>
      <c r="J18" s="219"/>
      <c r="K18" s="219"/>
      <c r="L18" s="219"/>
      <c r="M18" s="75"/>
      <c r="N18" s="88"/>
      <c r="O18" s="89"/>
      <c r="Q18" s="87"/>
      <c r="R18" s="66"/>
      <c r="S18" s="220" t="str">
        <f>C18</f>
        <v>To cost of reconditioning (taking out all the 36 bales from the metal box in order to patch the damaged portion with thick gauge aluminium foil and check for metal contamination before placing back the bales)
4 damaged Metal Boxes ex Eponyma V.2010W arrived 01.10.20</v>
      </c>
      <c r="T18" s="220"/>
      <c r="U18" s="220"/>
      <c r="V18" s="220"/>
      <c r="W18" s="220"/>
      <c r="X18" s="220"/>
      <c r="Y18" s="220"/>
      <c r="Z18" s="220"/>
      <c r="AA18" s="220"/>
      <c r="AB18" s="220"/>
      <c r="AC18" s="76"/>
      <c r="AD18" s="90"/>
      <c r="AE18" s="91"/>
      <c r="AF18" s="68"/>
    </row>
    <row r="19" spans="1:32" x14ac:dyDescent="0.2">
      <c r="A19" s="84"/>
      <c r="C19" s="219"/>
      <c r="D19" s="219"/>
      <c r="E19" s="219"/>
      <c r="F19" s="219"/>
      <c r="G19" s="219"/>
      <c r="H19" s="219"/>
      <c r="I19" s="219"/>
      <c r="J19" s="219"/>
      <c r="K19" s="219"/>
      <c r="L19" s="219"/>
      <c r="M19" s="75"/>
      <c r="N19" s="88"/>
      <c r="O19" s="89"/>
      <c r="Q19" s="87"/>
      <c r="R19" s="66"/>
      <c r="S19" s="220"/>
      <c r="T19" s="220"/>
      <c r="U19" s="220"/>
      <c r="V19" s="220"/>
      <c r="W19" s="220"/>
      <c r="X19" s="220"/>
      <c r="Y19" s="220"/>
      <c r="Z19" s="220"/>
      <c r="AA19" s="220"/>
      <c r="AB19" s="220"/>
      <c r="AC19" s="76"/>
      <c r="AD19" s="90"/>
      <c r="AE19" s="91"/>
      <c r="AF19" s="68"/>
    </row>
    <row r="20" spans="1:32" x14ac:dyDescent="0.2">
      <c r="A20" s="84"/>
      <c r="C20" s="219"/>
      <c r="D20" s="219"/>
      <c r="E20" s="219"/>
      <c r="F20" s="219"/>
      <c r="G20" s="219"/>
      <c r="H20" s="219"/>
      <c r="I20" s="219"/>
      <c r="J20" s="219"/>
      <c r="K20" s="219"/>
      <c r="L20" s="219"/>
      <c r="O20" s="89"/>
      <c r="Q20" s="87"/>
      <c r="R20" s="66"/>
      <c r="S20" s="220"/>
      <c r="T20" s="220"/>
      <c r="U20" s="220"/>
      <c r="V20" s="220"/>
      <c r="W20" s="220"/>
      <c r="X20" s="220"/>
      <c r="Y20" s="220"/>
      <c r="Z20" s="220"/>
      <c r="AA20" s="220"/>
      <c r="AB20" s="220"/>
      <c r="AC20" s="76"/>
      <c r="AD20" s="90"/>
      <c r="AE20" s="91"/>
      <c r="AF20" s="68"/>
    </row>
    <row r="21" spans="1:32" x14ac:dyDescent="0.2">
      <c r="A21" s="84"/>
      <c r="C21" s="219"/>
      <c r="D21" s="219"/>
      <c r="E21" s="219"/>
      <c r="F21" s="219"/>
      <c r="G21" s="219"/>
      <c r="H21" s="219"/>
      <c r="I21" s="219"/>
      <c r="J21" s="219"/>
      <c r="K21" s="219"/>
      <c r="L21" s="219"/>
      <c r="M21" s="75"/>
      <c r="N21" s="88"/>
      <c r="O21" s="89"/>
      <c r="Q21" s="87"/>
      <c r="R21" s="66"/>
      <c r="S21" s="220"/>
      <c r="T21" s="220"/>
      <c r="U21" s="220"/>
      <c r="V21" s="220"/>
      <c r="W21" s="220"/>
      <c r="X21" s="220"/>
      <c r="Y21" s="220"/>
      <c r="Z21" s="220"/>
      <c r="AA21" s="220"/>
      <c r="AB21" s="220"/>
      <c r="AC21" s="76"/>
      <c r="AD21" s="90"/>
      <c r="AE21" s="91"/>
      <c r="AF21" s="68"/>
    </row>
    <row r="22" spans="1:32" x14ac:dyDescent="0.2">
      <c r="A22" s="84"/>
      <c r="C22" s="160"/>
      <c r="D22" s="160"/>
      <c r="E22" s="160"/>
      <c r="F22" s="160"/>
      <c r="G22" s="160"/>
      <c r="H22" s="160"/>
      <c r="I22" s="160"/>
      <c r="J22" s="160"/>
      <c r="K22" s="160"/>
      <c r="L22" s="160"/>
      <c r="M22" s="75"/>
      <c r="N22" s="88"/>
      <c r="O22" s="89"/>
      <c r="Q22" s="87"/>
      <c r="R22" s="66"/>
      <c r="S22" s="161"/>
      <c r="T22" s="161"/>
      <c r="U22" s="161"/>
      <c r="V22" s="161"/>
      <c r="W22" s="161"/>
      <c r="X22" s="161"/>
      <c r="Y22" s="161"/>
      <c r="Z22" s="161"/>
      <c r="AA22" s="161"/>
      <c r="AB22" s="161"/>
      <c r="AC22" s="76"/>
      <c r="AD22" s="90"/>
      <c r="AE22" s="91"/>
      <c r="AF22" s="68"/>
    </row>
    <row r="23" spans="1:32" x14ac:dyDescent="0.2">
      <c r="A23" s="84"/>
      <c r="C23" s="92" t="s">
        <v>106</v>
      </c>
      <c r="D23" s="160"/>
      <c r="E23" s="160"/>
      <c r="F23" s="160"/>
      <c r="G23" s="160"/>
      <c r="H23" s="160"/>
      <c r="I23" s="160"/>
      <c r="J23" s="160"/>
      <c r="K23" s="160"/>
      <c r="L23" s="160"/>
      <c r="M23" s="75" t="s">
        <v>20</v>
      </c>
      <c r="N23" s="131">
        <v>320</v>
      </c>
      <c r="O23" s="89"/>
      <c r="Q23" s="87"/>
      <c r="R23" s="66"/>
      <c r="S23" s="76" t="str">
        <f>C23</f>
        <v>@S$80.00 per Metal box</v>
      </c>
      <c r="T23" s="76"/>
      <c r="U23" s="76"/>
      <c r="V23" s="76"/>
      <c r="W23" s="76"/>
      <c r="X23" s="76"/>
      <c r="Y23" s="76"/>
      <c r="Z23" s="76"/>
      <c r="AA23" s="66"/>
      <c r="AB23" s="76"/>
      <c r="AC23" s="75" t="s">
        <v>20</v>
      </c>
      <c r="AD23" s="90">
        <f>N23</f>
        <v>320</v>
      </c>
      <c r="AE23" s="91"/>
      <c r="AF23" s="68"/>
    </row>
    <row r="24" spans="1:32" x14ac:dyDescent="0.2">
      <c r="A24" s="84"/>
      <c r="C24" s="92"/>
      <c r="D24" s="75"/>
      <c r="E24" s="75"/>
      <c r="F24" s="75"/>
      <c r="G24" s="75"/>
      <c r="H24" s="75"/>
      <c r="I24" s="75"/>
      <c r="J24" s="75"/>
      <c r="L24" s="75"/>
      <c r="M24" s="75"/>
      <c r="N24" s="88"/>
      <c r="O24" s="89"/>
      <c r="Q24" s="87"/>
      <c r="R24" s="66"/>
      <c r="S24" s="93"/>
      <c r="T24" s="76"/>
      <c r="U24" s="76"/>
      <c r="V24" s="76"/>
      <c r="W24" s="76"/>
      <c r="X24" s="76"/>
      <c r="Y24" s="76"/>
      <c r="Z24" s="76"/>
      <c r="AA24" s="66"/>
      <c r="AB24" s="76"/>
      <c r="AC24" s="76"/>
      <c r="AD24" s="90"/>
      <c r="AE24" s="91"/>
      <c r="AF24" s="68"/>
    </row>
    <row r="25" spans="1:32" x14ac:dyDescent="0.2">
      <c r="A25" s="84"/>
      <c r="D25" s="75"/>
      <c r="E25" s="75"/>
      <c r="F25" s="75"/>
      <c r="G25" s="75"/>
      <c r="H25" s="75"/>
      <c r="I25" s="75"/>
      <c r="J25" s="75"/>
      <c r="K25" s="75"/>
      <c r="L25" s="75"/>
      <c r="M25" s="94"/>
      <c r="N25" s="95"/>
      <c r="O25" s="89"/>
      <c r="Q25" s="87"/>
      <c r="R25" s="66"/>
      <c r="S25" s="66"/>
      <c r="T25" s="76"/>
      <c r="U25" s="76"/>
      <c r="V25" s="76"/>
      <c r="W25" s="76"/>
      <c r="X25" s="76"/>
      <c r="Y25" s="76"/>
      <c r="Z25" s="76"/>
      <c r="AA25" s="76"/>
      <c r="AB25" s="76"/>
      <c r="AC25" s="96"/>
      <c r="AD25" s="97"/>
      <c r="AE25" s="91"/>
      <c r="AF25" s="68"/>
    </row>
    <row r="26" spans="1:32" ht="9.9499999999999993" customHeight="1" x14ac:dyDescent="0.2">
      <c r="A26" s="84"/>
      <c r="D26" s="75"/>
      <c r="E26" s="75"/>
      <c r="F26" s="75"/>
      <c r="G26" s="75"/>
      <c r="H26" s="75"/>
      <c r="I26" s="75"/>
      <c r="J26" s="75"/>
      <c r="K26" s="75"/>
      <c r="L26" s="75"/>
      <c r="M26" s="75"/>
      <c r="N26" s="88"/>
      <c r="O26" s="89"/>
      <c r="Q26" s="87"/>
      <c r="R26" s="66"/>
      <c r="S26" s="66"/>
      <c r="T26" s="76"/>
      <c r="U26" s="76"/>
      <c r="V26" s="76"/>
      <c r="W26" s="76"/>
      <c r="X26" s="76"/>
      <c r="Y26" s="76"/>
      <c r="Z26" s="76"/>
      <c r="AA26" s="76"/>
      <c r="AB26" s="76"/>
      <c r="AC26" s="76"/>
      <c r="AD26" s="90"/>
      <c r="AE26" s="91"/>
      <c r="AF26" s="68"/>
    </row>
    <row r="27" spans="1:32" x14ac:dyDescent="0.2">
      <c r="A27" s="84"/>
      <c r="D27" s="75"/>
      <c r="E27" s="75"/>
      <c r="F27" s="75"/>
      <c r="G27" s="75"/>
      <c r="H27" s="75"/>
      <c r="I27" s="75"/>
      <c r="J27" s="75"/>
      <c r="K27" s="75"/>
      <c r="L27" s="75"/>
      <c r="M27" s="75" t="s">
        <v>20</v>
      </c>
      <c r="N27" s="88">
        <f>SUM(N21:N25)</f>
        <v>320</v>
      </c>
      <c r="O27" s="89"/>
      <c r="Q27" s="87"/>
      <c r="R27" s="66"/>
      <c r="S27" s="66"/>
      <c r="T27" s="76"/>
      <c r="U27" s="76"/>
      <c r="V27" s="76"/>
      <c r="W27" s="76"/>
      <c r="X27" s="76"/>
      <c r="Y27" s="76"/>
      <c r="Z27" s="76"/>
      <c r="AA27" s="76"/>
      <c r="AB27" s="76"/>
      <c r="AC27" s="76" t="s">
        <v>20</v>
      </c>
      <c r="AD27" s="90">
        <f>SUM(AD20:AD25)</f>
        <v>320</v>
      </c>
      <c r="AE27" s="91"/>
      <c r="AF27" s="68"/>
    </row>
    <row r="28" spans="1:32" ht="9.9499999999999993" customHeight="1" thickBot="1" x14ac:dyDescent="0.25">
      <c r="A28" s="84"/>
      <c r="D28" s="75"/>
      <c r="E28" s="75"/>
      <c r="F28" s="75"/>
      <c r="G28" s="75"/>
      <c r="H28" s="75"/>
      <c r="I28" s="75"/>
      <c r="J28" s="75"/>
      <c r="K28" s="75"/>
      <c r="L28" s="75"/>
      <c r="M28" s="98"/>
      <c r="N28" s="98"/>
      <c r="O28" s="99"/>
      <c r="Q28" s="87"/>
      <c r="R28" s="66"/>
      <c r="S28" s="66"/>
      <c r="T28" s="76"/>
      <c r="U28" s="76"/>
      <c r="V28" s="76"/>
      <c r="W28" s="76"/>
      <c r="X28" s="76"/>
      <c r="Y28" s="76"/>
      <c r="Z28" s="76"/>
      <c r="AA28" s="76"/>
      <c r="AB28" s="76"/>
      <c r="AC28" s="100"/>
      <c r="AD28" s="100"/>
      <c r="AE28" s="101"/>
      <c r="AF28" s="68"/>
    </row>
    <row r="29" spans="1:32" ht="9.9499999999999993" customHeight="1" thickTop="1" x14ac:dyDescent="0.2">
      <c r="A29" s="84"/>
      <c r="D29" s="75"/>
      <c r="E29" s="75"/>
      <c r="F29" s="75"/>
      <c r="G29" s="75"/>
      <c r="H29" s="75"/>
      <c r="I29" s="75"/>
      <c r="J29" s="75"/>
      <c r="K29" s="75"/>
      <c r="L29" s="75"/>
      <c r="M29" s="75"/>
      <c r="N29" s="75"/>
      <c r="O29" s="99"/>
      <c r="Q29" s="87"/>
      <c r="R29" s="66"/>
      <c r="S29" s="66"/>
      <c r="T29" s="76"/>
      <c r="U29" s="76"/>
      <c r="V29" s="76"/>
      <c r="W29" s="76"/>
      <c r="X29" s="76"/>
      <c r="Y29" s="76"/>
      <c r="Z29" s="76"/>
      <c r="AA29" s="76"/>
      <c r="AB29" s="76"/>
      <c r="AC29" s="76"/>
      <c r="AD29" s="76"/>
      <c r="AE29" s="101"/>
      <c r="AF29" s="68"/>
    </row>
    <row r="30" spans="1:32" ht="9.9499999999999993" customHeight="1" x14ac:dyDescent="0.2">
      <c r="A30" s="84"/>
      <c r="D30" s="75"/>
      <c r="E30" s="75"/>
      <c r="F30" s="75"/>
      <c r="G30" s="75"/>
      <c r="H30" s="75"/>
      <c r="I30" s="75"/>
      <c r="J30" s="75"/>
      <c r="K30" s="75"/>
      <c r="L30" s="75"/>
      <c r="M30" s="75"/>
      <c r="N30" s="75"/>
      <c r="O30" s="99"/>
      <c r="Q30" s="87"/>
      <c r="R30" s="66"/>
      <c r="S30" s="66"/>
      <c r="T30" s="76"/>
      <c r="U30" s="76"/>
      <c r="V30" s="76"/>
      <c r="W30" s="76"/>
      <c r="X30" s="76"/>
      <c r="Y30" s="76"/>
      <c r="Z30" s="76"/>
      <c r="AA30" s="76"/>
      <c r="AB30" s="76"/>
      <c r="AC30" s="76"/>
      <c r="AD30" s="76"/>
      <c r="AE30" s="101"/>
      <c r="AF30" s="68"/>
    </row>
    <row r="31" spans="1:32" ht="9.9499999999999993" customHeight="1" x14ac:dyDescent="0.2">
      <c r="A31" s="84"/>
      <c r="D31" s="75"/>
      <c r="E31" s="75"/>
      <c r="F31" s="75"/>
      <c r="G31" s="75"/>
      <c r="H31" s="75"/>
      <c r="I31" s="75"/>
      <c r="J31" s="75"/>
      <c r="K31" s="75"/>
      <c r="L31" s="75"/>
      <c r="M31" s="75"/>
      <c r="N31" s="75"/>
      <c r="O31" s="99"/>
      <c r="Q31" s="87"/>
      <c r="R31" s="66"/>
      <c r="S31" s="66"/>
      <c r="T31" s="76"/>
      <c r="U31" s="76"/>
      <c r="V31" s="76"/>
      <c r="W31" s="76"/>
      <c r="X31" s="76"/>
      <c r="Y31" s="76"/>
      <c r="Z31" s="76"/>
      <c r="AA31" s="76"/>
      <c r="AB31" s="76"/>
      <c r="AC31" s="76"/>
      <c r="AD31" s="76"/>
      <c r="AE31" s="101"/>
      <c r="AF31" s="68"/>
    </row>
    <row r="32" spans="1:32" ht="12.75" customHeight="1" x14ac:dyDescent="0.2">
      <c r="A32" s="84"/>
      <c r="D32" s="75"/>
      <c r="E32" s="75"/>
      <c r="F32" s="75"/>
      <c r="G32" s="75"/>
      <c r="H32" s="75"/>
      <c r="I32" s="75"/>
      <c r="J32" s="75"/>
      <c r="K32" s="75"/>
      <c r="L32" s="75"/>
      <c r="M32" s="75"/>
      <c r="N32" s="75"/>
      <c r="O32" s="99"/>
      <c r="Q32" s="87"/>
      <c r="R32" s="66"/>
      <c r="S32" s="66"/>
      <c r="T32" s="76"/>
      <c r="U32" s="76"/>
      <c r="V32" s="76"/>
      <c r="W32" s="76"/>
      <c r="X32" s="76"/>
      <c r="Y32" s="76"/>
      <c r="Z32" s="76"/>
      <c r="AA32" s="76"/>
      <c r="AB32" s="76"/>
      <c r="AC32" s="76"/>
      <c r="AD32" s="76"/>
      <c r="AE32" s="101"/>
      <c r="AF32" s="68"/>
    </row>
    <row r="33" spans="1:32" x14ac:dyDescent="0.2">
      <c r="A33" s="84"/>
      <c r="C33" s="75" t="s">
        <v>21</v>
      </c>
      <c r="E33" s="75"/>
      <c r="F33" s="144" t="s">
        <v>107</v>
      </c>
      <c r="G33" s="75"/>
      <c r="H33" s="75"/>
      <c r="I33" s="75"/>
      <c r="J33" s="75"/>
      <c r="K33" s="75"/>
      <c r="L33" s="75"/>
      <c r="M33" s="75"/>
      <c r="N33" s="75"/>
      <c r="O33" s="99"/>
      <c r="Q33" s="87"/>
      <c r="R33" s="66"/>
      <c r="S33" s="76" t="str">
        <f>C33</f>
        <v>Singapore Dollars</v>
      </c>
      <c r="T33" s="66"/>
      <c r="U33" s="76"/>
      <c r="V33" s="76" t="str">
        <f>F33</f>
        <v>Three Hundred Twenty only</v>
      </c>
      <c r="W33" s="76"/>
      <c r="X33" s="76"/>
      <c r="Y33" s="76"/>
      <c r="Z33" s="76"/>
      <c r="AA33" s="76"/>
      <c r="AB33" s="76"/>
      <c r="AC33" s="76"/>
      <c r="AD33" s="76"/>
      <c r="AE33" s="101"/>
      <c r="AF33" s="68"/>
    </row>
    <row r="34" spans="1:32" ht="12.75" customHeight="1" x14ac:dyDescent="0.2">
      <c r="A34" s="84"/>
      <c r="D34" s="75"/>
      <c r="E34" s="75"/>
      <c r="F34" s="75"/>
      <c r="G34" s="75"/>
      <c r="H34" s="75"/>
      <c r="I34" s="75"/>
      <c r="J34" s="75"/>
      <c r="K34" s="75"/>
      <c r="L34" s="75"/>
      <c r="M34" s="75"/>
      <c r="N34" s="75"/>
      <c r="O34" s="99"/>
      <c r="Q34" s="87"/>
      <c r="R34" s="66"/>
      <c r="S34" s="66"/>
      <c r="T34" s="76"/>
      <c r="U34" s="76"/>
      <c r="V34" s="76"/>
      <c r="W34" s="76"/>
      <c r="X34" s="76"/>
      <c r="Y34" s="76"/>
      <c r="Z34" s="76"/>
      <c r="AA34" s="76"/>
      <c r="AB34" s="76"/>
      <c r="AC34" s="76"/>
      <c r="AD34" s="76"/>
      <c r="AE34" s="101"/>
      <c r="AF34" s="68"/>
    </row>
    <row r="35" spans="1:32" ht="12.75" customHeight="1" x14ac:dyDescent="0.2">
      <c r="A35" s="84"/>
      <c r="O35" s="84"/>
      <c r="Q35" s="87"/>
      <c r="R35" s="66"/>
      <c r="S35" s="66"/>
      <c r="T35" s="66"/>
      <c r="U35" s="66"/>
      <c r="V35" s="66"/>
      <c r="W35" s="66"/>
      <c r="X35" s="66"/>
      <c r="Y35" s="66"/>
      <c r="Z35" s="66"/>
      <c r="AA35" s="66"/>
      <c r="AB35" s="66"/>
      <c r="AC35" s="66"/>
      <c r="AD35" s="66"/>
      <c r="AE35" s="87"/>
      <c r="AF35" s="68"/>
    </row>
    <row r="36" spans="1:32" ht="12.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45" customHeight="1" x14ac:dyDescent="0.25">
      <c r="K53" s="110"/>
      <c r="L53" s="110"/>
      <c r="Q53" s="111" t="s">
        <v>27</v>
      </c>
      <c r="S53" s="112"/>
      <c r="T53" s="66"/>
      <c r="U53" s="66"/>
      <c r="V53" s="66"/>
      <c r="W53" s="66"/>
      <c r="X53" s="66"/>
      <c r="Y53" s="66"/>
      <c r="Z53" s="66"/>
      <c r="AA53" s="66"/>
      <c r="AB53" s="66"/>
      <c r="AC53" s="66"/>
      <c r="AD53" s="66"/>
      <c r="AE53" s="66"/>
      <c r="AF53" s="113" t="s">
        <v>28</v>
      </c>
    </row>
    <row r="54" spans="1:32" ht="11.45" customHeight="1" x14ac:dyDescent="0.25">
      <c r="K54" s="110"/>
      <c r="L54" s="110"/>
      <c r="Q54" s="112"/>
      <c r="R54" s="66"/>
      <c r="S54" s="112"/>
      <c r="T54" s="66"/>
      <c r="U54" s="103"/>
      <c r="V54" s="103"/>
      <c r="W54" s="103"/>
      <c r="X54" s="103"/>
      <c r="Y54" s="103"/>
      <c r="Z54" s="103"/>
      <c r="AA54" s="66"/>
      <c r="AB54" s="114"/>
      <c r="AC54" s="103"/>
      <c r="AD54" s="103"/>
      <c r="AE54" s="103"/>
      <c r="AF54" s="115"/>
    </row>
    <row r="55" spans="1:32" ht="11.45" customHeight="1" x14ac:dyDescent="0.25">
      <c r="K55" s="110"/>
      <c r="L55" s="110"/>
      <c r="Q55" s="112"/>
      <c r="R55" s="66"/>
      <c r="S55" s="112"/>
      <c r="T55" s="66"/>
      <c r="U55" s="103"/>
      <c r="V55" s="103"/>
      <c r="W55" s="103"/>
      <c r="X55" s="103"/>
      <c r="Y55" s="116"/>
      <c r="Z55" s="117"/>
      <c r="AA55" s="66"/>
      <c r="AB55" s="111"/>
      <c r="AC55" s="66"/>
      <c r="AD55" s="117"/>
      <c r="AE55" s="103"/>
      <c r="AF55" s="118"/>
    </row>
    <row r="56" spans="1:32" ht="11.45" customHeight="1" x14ac:dyDescent="0.25">
      <c r="A56" s="110"/>
      <c r="B56" s="110"/>
      <c r="D56" s="110"/>
      <c r="K56" s="110"/>
      <c r="L56" s="110"/>
      <c r="Q56" s="119"/>
      <c r="R56" s="66"/>
      <c r="S56" s="120" t="s">
        <v>29</v>
      </c>
      <c r="T56" s="108"/>
      <c r="U56" s="103"/>
      <c r="V56" s="103"/>
      <c r="W56" s="103"/>
      <c r="X56" s="103"/>
      <c r="Y56" s="116"/>
      <c r="Z56" s="117"/>
      <c r="AA56" s="66"/>
      <c r="AB56" s="111"/>
      <c r="AC56" s="66"/>
      <c r="AD56" s="117"/>
      <c r="AE56" s="66"/>
      <c r="AF56" s="118"/>
    </row>
    <row r="57" spans="1:32" ht="11.45" customHeight="1" x14ac:dyDescent="0.25">
      <c r="A57" s="110"/>
      <c r="B57" s="110"/>
      <c r="D57" s="110"/>
      <c r="K57" s="110"/>
      <c r="L57" s="110"/>
      <c r="R57" s="121"/>
      <c r="S57" s="66"/>
      <c r="T57" s="66"/>
      <c r="U57" s="103"/>
      <c r="V57" s="114"/>
      <c r="W57" s="103"/>
      <c r="X57" s="103"/>
      <c r="Y57" s="116"/>
      <c r="Z57" s="117"/>
      <c r="AA57" s="66"/>
      <c r="AB57" s="111"/>
      <c r="AC57" s="66"/>
      <c r="AD57" s="117"/>
      <c r="AE57" s="66"/>
      <c r="AF57" s="118"/>
    </row>
    <row r="58" spans="1:32" ht="11.4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4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4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4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4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mergeCells count="2">
    <mergeCell ref="C18:L21"/>
    <mergeCell ref="S18:AB21"/>
  </mergeCells>
  <printOptions horizontalCentered="1"/>
  <pageMargins left="0.7" right="0.7" top="0.75" bottom="0.75" header="0.3" footer="0.3"/>
  <pageSetup paperSize="9" fitToWidth="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27082-70B1-4FC5-BA15-1CB1B1A221B1}">
  <sheetPr codeName="Sheet1032">
    <tabColor rgb="FFFFFF00"/>
    <pageSetUpPr fitToPage="1"/>
  </sheetPr>
  <dimension ref="A1:AH63"/>
  <sheetViews>
    <sheetView zoomScaleNormal="100" workbookViewId="0">
      <selection activeCell="C23" sqref="C23"/>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7109375" style="2" customWidth="1"/>
    <col min="14" max="14" width="10"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4" customWidth="1"/>
    <col min="31" max="31" width="10"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0</v>
      </c>
      <c r="L7" s="8" t="s">
        <v>17</v>
      </c>
      <c r="R7" s="24"/>
      <c r="S7" s="24"/>
      <c r="T7" s="28" t="str">
        <f t="shared" ref="T7:T10" si="0">C7</f>
        <v>Bridgestone Singapore Pte Ltd</v>
      </c>
      <c r="U7" s="24"/>
      <c r="V7" s="24"/>
      <c r="W7" s="24"/>
      <c r="X7" s="24"/>
      <c r="Y7" s="24"/>
      <c r="Z7" s="24"/>
      <c r="AA7" s="24"/>
      <c r="AB7" s="24"/>
      <c r="AC7" s="217" t="s">
        <v>17</v>
      </c>
      <c r="AD7" s="217"/>
      <c r="AE7" s="217"/>
      <c r="AF7" s="24"/>
      <c r="AG7" s="24"/>
      <c r="AH7" s="26"/>
    </row>
    <row r="8" spans="1:34" x14ac:dyDescent="0.2">
      <c r="C8" s="12" t="s">
        <v>120</v>
      </c>
      <c r="R8" s="24"/>
      <c r="S8" s="24"/>
      <c r="T8" s="29" t="str">
        <f t="shared" si="0"/>
        <v>16 Raffles Quay</v>
      </c>
      <c r="U8" s="24"/>
      <c r="V8" s="24"/>
      <c r="W8" s="24"/>
      <c r="X8" s="24"/>
      <c r="Y8" s="24"/>
      <c r="Z8" s="24"/>
      <c r="AA8" s="24"/>
      <c r="AB8" s="24"/>
      <c r="AC8" s="24"/>
      <c r="AD8" s="24"/>
      <c r="AE8" s="24"/>
      <c r="AF8" s="24"/>
      <c r="AG8" s="24"/>
      <c r="AH8" s="26"/>
    </row>
    <row r="9" spans="1:34" x14ac:dyDescent="0.2">
      <c r="C9" s="12" t="s">
        <v>121</v>
      </c>
      <c r="L9" s="12" t="s">
        <v>18</v>
      </c>
      <c r="M9" s="136" t="s">
        <v>110</v>
      </c>
      <c r="R9" s="24"/>
      <c r="S9" s="24"/>
      <c r="T9" s="29" t="str">
        <f t="shared" si="0"/>
        <v>#32-02 Hong Leong Building</v>
      </c>
      <c r="U9" s="24"/>
      <c r="V9" s="24"/>
      <c r="W9" s="24"/>
      <c r="X9" s="24"/>
      <c r="Y9" s="24"/>
      <c r="Z9" s="24"/>
      <c r="AA9" s="24"/>
      <c r="AB9" s="24"/>
      <c r="AC9" s="29" t="s">
        <v>18</v>
      </c>
      <c r="AD9" s="214" t="str">
        <f>M9</f>
        <v>DN202407-17</v>
      </c>
      <c r="AE9" s="214"/>
      <c r="AF9" s="24"/>
      <c r="AG9" s="24"/>
      <c r="AH9" s="26"/>
    </row>
    <row r="10" spans="1:34" x14ac:dyDescent="0.2">
      <c r="C10" s="12" t="s">
        <v>122</v>
      </c>
      <c r="R10" s="24"/>
      <c r="S10" s="24"/>
      <c r="T10" s="29" t="str">
        <f t="shared" si="0"/>
        <v>Singapore 048581</v>
      </c>
      <c r="U10" s="24"/>
      <c r="V10" s="24"/>
      <c r="W10" s="24"/>
      <c r="X10" s="24"/>
      <c r="Y10" s="24"/>
      <c r="Z10" s="24"/>
      <c r="AA10" s="24"/>
      <c r="AB10" s="24"/>
      <c r="AC10" s="24"/>
      <c r="AD10" s="24"/>
      <c r="AE10" s="24"/>
      <c r="AF10" s="24"/>
      <c r="AG10" s="24"/>
      <c r="AH10" s="26"/>
    </row>
    <row r="11" spans="1:34" x14ac:dyDescent="0.2">
      <c r="C11" s="12"/>
      <c r="R11" s="24"/>
      <c r="S11" s="24"/>
      <c r="T11" s="29"/>
      <c r="U11" s="24"/>
      <c r="V11" s="24"/>
      <c r="W11" s="24"/>
      <c r="X11" s="24"/>
      <c r="Y11" s="24"/>
      <c r="Z11" s="24"/>
      <c r="AA11" s="24"/>
      <c r="AB11" s="24"/>
      <c r="AC11" s="24"/>
      <c r="AD11" s="24"/>
      <c r="AE11" s="24"/>
      <c r="AF11" s="24"/>
      <c r="AG11" s="24"/>
      <c r="AH11" s="26"/>
    </row>
    <row r="12" spans="1:34" x14ac:dyDescent="0.2">
      <c r="C12" s="12"/>
      <c r="L12" s="144" t="s">
        <v>19</v>
      </c>
      <c r="M12" s="144">
        <v>15</v>
      </c>
      <c r="N12" s="145">
        <v>45501</v>
      </c>
      <c r="R12" s="24"/>
      <c r="S12" s="24"/>
      <c r="T12" s="29"/>
      <c r="U12" s="24"/>
      <c r="V12" s="24"/>
      <c r="W12" s="24"/>
      <c r="X12" s="24"/>
      <c r="Y12" s="24"/>
      <c r="Z12" s="24"/>
      <c r="AA12" s="24"/>
      <c r="AB12" s="24"/>
      <c r="AC12" s="147" t="s">
        <v>19</v>
      </c>
      <c r="AD12" s="30">
        <f>M12</f>
        <v>15</v>
      </c>
      <c r="AE12" s="146">
        <f>N12</f>
        <v>45501</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111</v>
      </c>
      <c r="D16" s="12"/>
      <c r="E16" s="12"/>
      <c r="F16" s="12"/>
      <c r="G16" s="12"/>
      <c r="H16" s="12"/>
      <c r="I16" s="12"/>
      <c r="J16" s="12"/>
      <c r="K16" s="12"/>
      <c r="L16" s="12"/>
      <c r="M16" s="12"/>
      <c r="N16" s="12"/>
      <c r="O16" s="12"/>
      <c r="P16" s="128"/>
      <c r="R16" s="35"/>
      <c r="S16" s="24"/>
      <c r="T16" s="29" t="str">
        <f t="shared" ref="T16:T17" si="1">C16</f>
        <v>Contract No.264267 64 MB5 94.08M3 SMR-10 April 2024 to PT Caldera/Heredia</v>
      </c>
      <c r="U16" s="29"/>
      <c r="V16" s="29"/>
      <c r="W16" s="29"/>
      <c r="X16" s="29"/>
      <c r="Y16" s="29"/>
      <c r="Z16" s="29"/>
      <c r="AA16" s="29"/>
      <c r="AB16" s="29"/>
      <c r="AC16" s="29"/>
      <c r="AD16" s="29"/>
      <c r="AE16" s="29"/>
      <c r="AF16" s="29"/>
      <c r="AG16" s="36"/>
      <c r="AH16" s="26"/>
    </row>
    <row r="17" spans="1:34" ht="12.75" customHeight="1" x14ac:dyDescent="0.2">
      <c r="A17" s="10"/>
      <c r="C17" s="136" t="s">
        <v>112</v>
      </c>
      <c r="D17" s="12"/>
      <c r="E17" s="12"/>
      <c r="F17" s="12"/>
      <c r="G17" s="12"/>
      <c r="I17" s="136"/>
      <c r="L17" s="12"/>
      <c r="M17" s="12"/>
      <c r="N17" s="12"/>
      <c r="O17" s="12"/>
      <c r="P17" s="128"/>
      <c r="R17" s="35"/>
      <c r="S17" s="24"/>
      <c r="T17" s="29" t="str">
        <f t="shared" si="1"/>
        <v>Contract No.264268 64 MB5 94.08M3 SMR-10 April 2024 to PT Caldera/Heredia</v>
      </c>
      <c r="U17" s="29"/>
      <c r="V17" s="29"/>
      <c r="W17" s="29"/>
      <c r="X17" s="29"/>
      <c r="Z17" s="12"/>
      <c r="AB17" s="24"/>
      <c r="AC17" s="29"/>
      <c r="AD17" s="29"/>
      <c r="AE17" s="29"/>
      <c r="AF17" s="29"/>
      <c r="AG17" s="36"/>
      <c r="AH17" s="26"/>
    </row>
    <row r="18" spans="1:34" ht="12.75" customHeight="1" x14ac:dyDescent="0.2">
      <c r="A18" s="10"/>
      <c r="C18" s="136" t="s">
        <v>113</v>
      </c>
      <c r="D18" s="12"/>
      <c r="E18" s="12"/>
      <c r="F18" s="12"/>
      <c r="G18" s="12"/>
      <c r="H18" s="12"/>
      <c r="I18" s="125"/>
      <c r="J18" s="12"/>
      <c r="K18" s="144"/>
      <c r="L18" s="144"/>
      <c r="M18" s="56"/>
      <c r="N18" s="12"/>
      <c r="O18" s="12"/>
      <c r="P18" s="128"/>
      <c r="R18" s="35"/>
      <c r="S18" s="24"/>
      <c r="T18" s="29" t="str">
        <f>C18</f>
        <v>Contract No.264269 64 MB5 94.08M3 SMR-10 April 2024 to PT Caldera/Heredia</v>
      </c>
      <c r="U18" s="29"/>
      <c r="V18" s="29"/>
      <c r="W18" s="29"/>
      <c r="Z18" s="126"/>
      <c r="AA18" s="12"/>
      <c r="AB18" s="12"/>
      <c r="AC18" s="12"/>
      <c r="AD18" s="12"/>
      <c r="AE18" s="12"/>
      <c r="AF18" s="29"/>
      <c r="AG18" s="36"/>
      <c r="AH18" s="26"/>
    </row>
    <row r="19" spans="1:34" ht="12.75" customHeight="1" x14ac:dyDescent="0.2">
      <c r="A19" s="10"/>
      <c r="C19" s="136" t="s">
        <v>114</v>
      </c>
      <c r="D19" s="12"/>
      <c r="E19" s="12"/>
      <c r="F19" s="12"/>
      <c r="G19" s="136"/>
      <c r="H19" s="12"/>
      <c r="I19" s="12"/>
      <c r="J19" s="12"/>
      <c r="K19" s="62"/>
      <c r="L19" s="62"/>
      <c r="M19" s="12"/>
      <c r="N19" s="12"/>
      <c r="O19" s="12"/>
      <c r="P19" s="128"/>
      <c r="R19" s="35"/>
      <c r="S19" s="24"/>
      <c r="T19" s="147" t="str">
        <f>C19</f>
        <v xml:space="preserve">Total 192 MB5 282.24M3 SMR-10 arrived Singapore on 19 April 2024 </v>
      </c>
      <c r="U19" s="147"/>
      <c r="V19" s="134"/>
      <c r="W19" s="134"/>
      <c r="X19" s="29"/>
      <c r="Y19" s="29"/>
      <c r="Z19" s="29"/>
      <c r="AA19" s="29"/>
      <c r="AB19" s="163"/>
      <c r="AC19" s="163"/>
      <c r="AD19" s="29"/>
      <c r="AE19" s="29"/>
      <c r="AF19" s="29"/>
      <c r="AG19" s="36"/>
      <c r="AH19" s="26"/>
    </row>
    <row r="20" spans="1:34" ht="12.75" customHeight="1" x14ac:dyDescent="0.2">
      <c r="A20" s="10"/>
      <c r="C20" s="136" t="s">
        <v>115</v>
      </c>
      <c r="D20" s="12"/>
      <c r="E20" s="12"/>
      <c r="F20" s="12"/>
      <c r="G20" s="12"/>
      <c r="H20" s="144"/>
      <c r="I20" s="153"/>
      <c r="J20" s="12"/>
      <c r="M20" s="12"/>
      <c r="N20" s="12"/>
      <c r="O20" s="12"/>
      <c r="P20" s="128"/>
      <c r="R20" s="35"/>
      <c r="S20" s="24"/>
      <c r="T20" s="29" t="str">
        <f>C20</f>
        <v>and shipped on 10 July 2024</v>
      </c>
      <c r="U20" s="29"/>
      <c r="V20" s="29"/>
      <c r="W20" s="29"/>
      <c r="X20" s="29"/>
      <c r="Z20" s="124"/>
      <c r="AA20" s="29"/>
      <c r="AB20" s="24"/>
      <c r="AC20" s="29"/>
      <c r="AD20" s="29"/>
      <c r="AE20" s="29"/>
      <c r="AF20" s="29"/>
      <c r="AG20" s="36"/>
      <c r="AH20" s="26"/>
    </row>
    <row r="21" spans="1:34" ht="12.75" customHeight="1" x14ac:dyDescent="0.2">
      <c r="A21" s="10"/>
      <c r="C21" s="13"/>
      <c r="D21" s="4"/>
      <c r="E21" s="13"/>
      <c r="F21" s="13"/>
      <c r="G21" s="13"/>
      <c r="H21" s="13"/>
      <c r="I21" s="13"/>
      <c r="J21" s="13"/>
      <c r="K21" s="13"/>
      <c r="L21" s="13"/>
      <c r="M21" s="13"/>
      <c r="N21" s="13"/>
      <c r="O21" s="12"/>
      <c r="P21" s="128"/>
      <c r="R21" s="35"/>
      <c r="S21" s="24"/>
      <c r="T21" s="37"/>
      <c r="U21" s="38"/>
      <c r="V21" s="37"/>
      <c r="W21" s="37"/>
      <c r="X21" s="37"/>
      <c r="Y21" s="37"/>
      <c r="Z21" s="37"/>
      <c r="AA21" s="37"/>
      <c r="AB21" s="37"/>
      <c r="AC21" s="37"/>
      <c r="AD21" s="37"/>
      <c r="AE21" s="37"/>
      <c r="AF21" s="29"/>
      <c r="AG21" s="36"/>
      <c r="AH21" s="26"/>
    </row>
    <row r="22" spans="1:34" ht="12.75" customHeight="1" x14ac:dyDescent="0.2">
      <c r="A22" s="10"/>
      <c r="C22" s="12"/>
      <c r="E22" s="12"/>
      <c r="F22" s="12"/>
      <c r="G22" s="12"/>
      <c r="H22" s="12"/>
      <c r="I22" s="12"/>
      <c r="J22" s="12"/>
      <c r="K22" s="12"/>
      <c r="L22" s="12"/>
      <c r="M22" s="12"/>
      <c r="N22" s="12"/>
      <c r="O22" s="12"/>
      <c r="P22" s="128"/>
      <c r="R22" s="35"/>
      <c r="S22" s="24"/>
      <c r="T22" s="29"/>
      <c r="U22" s="29"/>
      <c r="V22" s="29"/>
      <c r="W22" s="29"/>
      <c r="X22" s="29"/>
      <c r="Y22" s="29"/>
      <c r="Z22" s="29"/>
      <c r="AA22" s="29"/>
      <c r="AB22" s="29"/>
      <c r="AC22" s="29"/>
      <c r="AD22" s="29"/>
      <c r="AE22" s="29"/>
      <c r="AF22" s="29"/>
      <c r="AG22" s="36"/>
      <c r="AH22" s="26"/>
    </row>
    <row r="23" spans="1:34" ht="12.75" customHeight="1" x14ac:dyDescent="0.2">
      <c r="A23" s="10"/>
      <c r="C23" s="12" t="s">
        <v>124</v>
      </c>
      <c r="E23" s="12"/>
      <c r="F23" s="12"/>
      <c r="G23" s="12"/>
      <c r="H23" s="12"/>
      <c r="I23" s="57"/>
      <c r="J23" s="60"/>
      <c r="L23" s="12"/>
      <c r="M23" s="12"/>
      <c r="N23" s="14"/>
      <c r="O23" s="12"/>
      <c r="P23" s="128"/>
      <c r="R23" s="35"/>
      <c r="S23" s="24"/>
      <c r="T23" s="29" t="str">
        <f>C23</f>
        <v>Jurong Port store rent as per Jurong Port Bill</v>
      </c>
      <c r="U23" s="29"/>
      <c r="V23" s="29"/>
      <c r="W23" s="163"/>
      <c r="X23" s="163"/>
      <c r="Y23" s="29"/>
      <c r="Z23" s="29"/>
      <c r="AA23" s="29"/>
      <c r="AB23" s="29"/>
      <c r="AC23" s="29"/>
      <c r="AD23" s="29"/>
      <c r="AE23" s="39"/>
      <c r="AF23" s="29"/>
      <c r="AG23" s="36"/>
      <c r="AH23" s="26"/>
    </row>
    <row r="24" spans="1:34" ht="12.75" customHeight="1" x14ac:dyDescent="0.2">
      <c r="A24" s="10"/>
      <c r="C24" s="12" t="s">
        <v>123</v>
      </c>
      <c r="E24" s="12"/>
      <c r="F24" s="12"/>
      <c r="G24" s="12"/>
      <c r="H24" s="12"/>
      <c r="L24" s="12"/>
      <c r="M24" s="12"/>
      <c r="N24" s="14"/>
      <c r="O24" s="12"/>
      <c r="P24" s="128"/>
      <c r="R24" s="35"/>
      <c r="S24" s="24"/>
      <c r="T24" t="str">
        <f>C24</f>
        <v>Nos: GB2400038359/GB2400038360 attached</v>
      </c>
      <c r="AF24" s="29"/>
      <c r="AG24" s="36"/>
      <c r="AH24" s="26"/>
    </row>
    <row r="25" spans="1:34" ht="12.75" customHeight="1" x14ac:dyDescent="0.2">
      <c r="A25" s="10"/>
      <c r="C25" s="2" t="s">
        <v>127</v>
      </c>
      <c r="M25" s="2" t="s">
        <v>125</v>
      </c>
      <c r="N25" s="164">
        <v>4666.26</v>
      </c>
      <c r="O25" s="12"/>
      <c r="P25" s="128"/>
      <c r="R25" s="35"/>
      <c r="S25" s="24"/>
      <c r="T25" s="29" t="str">
        <f>C25</f>
        <v>SGD 6,223.39 at exchange 1.3337</v>
      </c>
      <c r="U25" s="24"/>
      <c r="V25" s="29"/>
      <c r="W25" s="29"/>
      <c r="X25" s="29"/>
      <c r="Y25" s="29"/>
      <c r="Z25" s="29"/>
      <c r="AA25" s="29"/>
      <c r="AB25" s="29"/>
      <c r="AC25" s="29"/>
      <c r="AD25" s="29" t="str">
        <f>M25</f>
        <v>US$</v>
      </c>
      <c r="AE25" s="165">
        <f>N25</f>
        <v>4666.26</v>
      </c>
      <c r="AF25" s="29"/>
      <c r="AG25" s="36"/>
      <c r="AH25" s="26"/>
    </row>
    <row r="26" spans="1:34" x14ac:dyDescent="0.2">
      <c r="A26" s="10"/>
      <c r="C26" s="12" t="s">
        <v>116</v>
      </c>
      <c r="O26" s="14"/>
      <c r="P26" s="128"/>
      <c r="R26" s="35"/>
      <c r="S26" s="24"/>
      <c r="T26" s="29" t="str">
        <f>C26</f>
        <v>Jurong Port FTZ godown first 14 days free storage for transshipment cargo.</v>
      </c>
      <c r="U26" s="24"/>
      <c r="V26" s="29"/>
      <c r="W26" s="29"/>
      <c r="X26" s="29"/>
      <c r="Y26" s="29"/>
      <c r="Z26" s="58"/>
      <c r="AA26" s="59"/>
      <c r="AB26" s="2"/>
      <c r="AC26" s="29"/>
      <c r="AD26" s="29"/>
      <c r="AE26" s="39"/>
      <c r="AF26" s="39"/>
      <c r="AG26" s="40"/>
      <c r="AH26" s="26"/>
    </row>
    <row r="27" spans="1:34" x14ac:dyDescent="0.2">
      <c r="A27" s="10"/>
      <c r="F27" s="2" t="s">
        <v>117</v>
      </c>
      <c r="O27" s="14"/>
      <c r="P27" s="128"/>
      <c r="R27" s="35"/>
      <c r="S27" s="24"/>
      <c r="T27" s="29"/>
      <c r="U27" s="24"/>
      <c r="V27" s="29"/>
      <c r="W27" s="29" t="str">
        <f>F27</f>
        <v>Next 14 days S$2.80 per M3</v>
      </c>
      <c r="X27" s="29"/>
      <c r="Y27" s="29"/>
      <c r="Z27" s="29"/>
      <c r="AA27" s="29"/>
      <c r="AB27" s="24"/>
      <c r="AC27" s="29"/>
      <c r="AD27" s="29"/>
      <c r="AE27" s="39"/>
      <c r="AF27" s="39"/>
      <c r="AG27" s="40"/>
      <c r="AH27" s="26"/>
    </row>
    <row r="28" spans="1:34" x14ac:dyDescent="0.2">
      <c r="A28" s="10"/>
      <c r="C28" s="12"/>
      <c r="E28" s="12"/>
      <c r="F28" s="12" t="s">
        <v>118</v>
      </c>
      <c r="G28" s="12"/>
      <c r="H28" s="12"/>
      <c r="I28" s="12"/>
      <c r="L28" s="12"/>
      <c r="M28" s="12"/>
      <c r="N28" s="14"/>
      <c r="O28" s="14"/>
      <c r="P28" s="128"/>
      <c r="R28" s="35"/>
      <c r="S28" s="24"/>
      <c r="T28" s="29"/>
      <c r="U28" s="24"/>
      <c r="V28" s="29"/>
      <c r="W28" s="29" t="str">
        <f>F28</f>
        <v>Next 28 days S$14.00 per M3</v>
      </c>
      <c r="X28" s="29"/>
      <c r="Y28" s="29"/>
      <c r="Z28" s="29"/>
      <c r="AA28" s="24"/>
      <c r="AB28" s="24"/>
      <c r="AC28" s="29"/>
      <c r="AD28" s="29"/>
      <c r="AE28" s="39"/>
      <c r="AF28" s="39"/>
      <c r="AG28" s="40"/>
      <c r="AH28" s="26"/>
    </row>
    <row r="29" spans="1:34" x14ac:dyDescent="0.2">
      <c r="A29" s="10"/>
      <c r="D29" s="12"/>
      <c r="E29" s="12"/>
      <c r="F29" s="12" t="s">
        <v>119</v>
      </c>
      <c r="G29" s="12"/>
      <c r="H29" s="12"/>
      <c r="I29" s="12"/>
      <c r="J29" s="12"/>
      <c r="K29" s="12"/>
      <c r="L29" s="12"/>
      <c r="M29" s="13"/>
      <c r="N29" s="15"/>
      <c r="O29" s="14"/>
      <c r="P29" s="128"/>
      <c r="R29" s="35"/>
      <c r="S29" s="24"/>
      <c r="T29" s="24"/>
      <c r="U29" s="29"/>
      <c r="V29" s="29"/>
      <c r="W29" s="29" t="str">
        <f>F29</f>
        <v>Next 20 days S$20.00 per M3</v>
      </c>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125</v>
      </c>
      <c r="N31" s="14">
        <f>SUM(N23:N28)</f>
        <v>4666.26</v>
      </c>
      <c r="O31" s="14"/>
      <c r="P31" s="128"/>
      <c r="R31" s="35"/>
      <c r="S31" s="24"/>
      <c r="T31" s="24"/>
      <c r="U31" s="29"/>
      <c r="V31" s="29"/>
      <c r="W31" s="29"/>
      <c r="X31" s="29"/>
      <c r="Y31" s="29"/>
      <c r="Z31" s="29"/>
      <c r="AA31" s="29"/>
      <c r="AB31" s="29"/>
      <c r="AC31" s="29"/>
      <c r="AD31" s="29" t="str">
        <f>M31</f>
        <v>US$</v>
      </c>
      <c r="AE31" s="39">
        <f>SUM(AE22:AE29)</f>
        <v>4666.26</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9.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126</v>
      </c>
      <c r="E35" s="136"/>
      <c r="F35" s="12"/>
      <c r="G35" s="12"/>
      <c r="H35" s="12"/>
      <c r="I35" s="12"/>
      <c r="J35" s="12"/>
      <c r="K35" s="12"/>
      <c r="L35" s="12"/>
      <c r="M35" s="12"/>
      <c r="N35" s="12"/>
      <c r="O35" s="12"/>
      <c r="P35" s="128"/>
      <c r="R35" s="35"/>
      <c r="S35" s="24"/>
      <c r="T35" s="29" t="str">
        <f>C35</f>
        <v>United States Dollars Four Thousand Six Hundred Sixty Six and cents Twenty Six only</v>
      </c>
      <c r="U35" s="24"/>
      <c r="V35" s="29"/>
      <c r="W35" s="29"/>
      <c r="X35" s="29"/>
      <c r="Y35" s="29"/>
      <c r="Z35" s="29"/>
      <c r="AA35" s="29"/>
      <c r="AB35" s="29"/>
      <c r="AC35" s="29"/>
      <c r="AD35" s="29"/>
      <c r="AE35" s="29"/>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66"/>
      <c r="T51" s="66"/>
      <c r="U51" s="66"/>
      <c r="V51" s="66"/>
      <c r="W51" s="66"/>
      <c r="X51" s="66"/>
      <c r="Y51" s="66"/>
      <c r="Z51" s="66"/>
      <c r="AA51" s="66"/>
      <c r="AB51" s="66"/>
      <c r="AC51" s="66"/>
      <c r="AD51" s="66"/>
      <c r="AE51" s="66"/>
      <c r="AF51" s="66"/>
      <c r="AG51" s="66"/>
      <c r="AH51" s="68"/>
    </row>
    <row r="52" spans="1:34" ht="11.65" customHeight="1" x14ac:dyDescent="0.25">
      <c r="K52" s="9"/>
      <c r="L52" s="9"/>
      <c r="S52" s="111" t="s">
        <v>27</v>
      </c>
      <c r="T52" s="65"/>
      <c r="U52" s="112"/>
      <c r="V52" s="66"/>
      <c r="W52" s="66"/>
      <c r="X52" s="66"/>
      <c r="Y52" s="66"/>
      <c r="Z52" s="66"/>
      <c r="AA52" s="66"/>
      <c r="AB52" s="66"/>
      <c r="AC52" s="66"/>
      <c r="AD52" s="66"/>
      <c r="AE52" s="66"/>
      <c r="AF52" s="66"/>
      <c r="AG52" s="66"/>
      <c r="AH52" s="113" t="s">
        <v>28</v>
      </c>
    </row>
    <row r="53" spans="1:34" ht="11.65" customHeight="1" x14ac:dyDescent="0.25">
      <c r="K53" s="9"/>
      <c r="L53" s="9"/>
      <c r="R53" s="43"/>
      <c r="S53" s="112"/>
      <c r="T53" s="66"/>
      <c r="U53" s="112"/>
      <c r="V53" s="66"/>
      <c r="W53" s="103"/>
      <c r="X53" s="103"/>
      <c r="Y53" s="103"/>
      <c r="Z53" s="103"/>
      <c r="AA53" s="103"/>
      <c r="AB53" s="103"/>
      <c r="AC53" s="66"/>
      <c r="AD53" s="114"/>
      <c r="AE53" s="103"/>
      <c r="AF53" s="103"/>
      <c r="AG53" s="103"/>
      <c r="AH53" s="115"/>
    </row>
    <row r="54" spans="1:34" ht="11.65" customHeight="1" x14ac:dyDescent="0.25">
      <c r="K54" s="9"/>
      <c r="L54" s="9"/>
      <c r="R54" s="43"/>
      <c r="S54" s="112"/>
      <c r="T54" s="66"/>
      <c r="U54" s="112"/>
      <c r="V54" s="66"/>
      <c r="W54" s="103"/>
      <c r="X54" s="103"/>
      <c r="Y54" s="103"/>
      <c r="Z54" s="103"/>
      <c r="AA54" s="116"/>
      <c r="AB54" s="117"/>
      <c r="AC54" s="66"/>
      <c r="AD54" s="111"/>
      <c r="AE54" s="66"/>
      <c r="AF54" s="117"/>
      <c r="AG54" s="103"/>
      <c r="AH54" s="118"/>
    </row>
    <row r="55" spans="1:34" ht="11.65" customHeight="1" x14ac:dyDescent="0.25">
      <c r="A55" s="9"/>
      <c r="B55" s="9"/>
      <c r="D55" s="9"/>
      <c r="K55" s="9"/>
      <c r="L55" s="9"/>
      <c r="R55" s="43"/>
      <c r="S55" s="119"/>
      <c r="T55" s="66"/>
      <c r="U55" s="120" t="s">
        <v>29</v>
      </c>
      <c r="V55" s="108"/>
      <c r="W55" s="103"/>
      <c r="X55" s="103"/>
      <c r="Y55" s="103"/>
      <c r="Z55" s="103"/>
      <c r="AA55" s="116"/>
      <c r="AB55" s="117"/>
      <c r="AC55" s="66"/>
      <c r="AD55" s="111"/>
      <c r="AE55" s="66"/>
      <c r="AF55" s="117"/>
      <c r="AG55" s="66"/>
      <c r="AH55" s="118"/>
    </row>
    <row r="56" spans="1:34" ht="11.65" customHeight="1" x14ac:dyDescent="0.25">
      <c r="A56" s="9"/>
      <c r="B56" s="9"/>
      <c r="D56" s="9"/>
      <c r="K56" s="9"/>
      <c r="L56" s="9"/>
      <c r="R56" s="24"/>
      <c r="S56" s="65"/>
      <c r="T56" s="121"/>
      <c r="U56" s="66"/>
      <c r="V56" s="66"/>
      <c r="W56" s="103"/>
      <c r="X56" s="114"/>
      <c r="Y56" s="103"/>
      <c r="Z56" s="103"/>
      <c r="AA56" s="116"/>
      <c r="AB56" s="117"/>
      <c r="AC56" s="66"/>
      <c r="AD56" s="111"/>
      <c r="AE56" s="66"/>
      <c r="AF56" s="117"/>
      <c r="AG56" s="66"/>
      <c r="AH56" s="118"/>
    </row>
    <row r="57" spans="1:34" ht="11.65" customHeight="1" x14ac:dyDescent="0.25">
      <c r="A57" s="9"/>
      <c r="B57" s="9"/>
      <c r="D57" s="9"/>
      <c r="K57" s="9"/>
      <c r="L57" s="9"/>
      <c r="R57" s="24"/>
      <c r="S57" s="66"/>
      <c r="T57" s="66"/>
      <c r="U57" s="116"/>
      <c r="V57" s="117"/>
      <c r="W57" s="66"/>
      <c r="X57" s="66"/>
      <c r="Y57" s="103"/>
      <c r="Z57" s="103"/>
      <c r="AA57" s="116"/>
      <c r="AB57" s="117"/>
      <c r="AC57" s="66"/>
      <c r="AD57" s="111"/>
      <c r="AE57" s="66"/>
      <c r="AF57" s="117"/>
      <c r="AG57" s="66"/>
      <c r="AH57" s="118"/>
    </row>
    <row r="58" spans="1:34" ht="11.65" customHeight="1" x14ac:dyDescent="0.25">
      <c r="A58" s="9"/>
      <c r="B58" s="9"/>
      <c r="D58" s="9"/>
      <c r="F58" s="9"/>
      <c r="G58" s="9"/>
      <c r="H58" s="9"/>
      <c r="I58" s="9"/>
      <c r="K58" s="9"/>
      <c r="L58" s="9"/>
      <c r="N58" s="20"/>
      <c r="O58" s="9"/>
      <c r="R58" s="24"/>
      <c r="S58" s="66"/>
      <c r="T58" s="66"/>
      <c r="U58" s="116"/>
      <c r="V58" s="117"/>
      <c r="W58" s="66"/>
      <c r="X58" s="66"/>
      <c r="Y58" s="103"/>
      <c r="Z58" s="103"/>
      <c r="AA58" s="116"/>
      <c r="AB58" s="117"/>
      <c r="AC58" s="66"/>
      <c r="AD58" s="103"/>
      <c r="AE58" s="103"/>
      <c r="AF58" s="103"/>
      <c r="AG58" s="66"/>
      <c r="AH58" s="68"/>
    </row>
    <row r="59" spans="1:34" ht="11.65" customHeight="1" x14ac:dyDescent="0.25">
      <c r="A59" s="9"/>
      <c r="B59" s="9"/>
      <c r="D59" s="9"/>
      <c r="F59" s="9"/>
      <c r="G59" s="9"/>
      <c r="H59" s="9"/>
      <c r="I59" s="9"/>
      <c r="K59" s="9"/>
      <c r="L59" s="9"/>
      <c r="R59" s="24"/>
      <c r="S59" s="66"/>
      <c r="T59" s="66"/>
      <c r="U59" s="116"/>
      <c r="V59" s="117"/>
      <c r="W59" s="66"/>
      <c r="X59" s="116"/>
      <c r="Y59" s="117"/>
      <c r="Z59" s="123"/>
      <c r="AA59" s="116"/>
      <c r="AB59" s="117"/>
      <c r="AC59" s="66"/>
      <c r="AD59" s="103"/>
      <c r="AE59" s="103"/>
      <c r="AF59" s="103"/>
      <c r="AG59" s="66"/>
      <c r="AH59" s="68"/>
    </row>
    <row r="60" spans="1:34" ht="11.65" customHeight="1" x14ac:dyDescent="0.25">
      <c r="A60" s="9"/>
      <c r="B60" s="9"/>
      <c r="D60" s="9"/>
      <c r="F60" s="9"/>
      <c r="G60" s="9"/>
      <c r="H60" s="9"/>
      <c r="I60" s="9"/>
      <c r="K60" s="9"/>
      <c r="L60" s="9"/>
      <c r="R60" s="24"/>
      <c r="S60" s="66"/>
      <c r="T60" s="66"/>
      <c r="U60" s="116"/>
      <c r="V60" s="117"/>
      <c r="W60" s="66"/>
      <c r="X60" s="116"/>
      <c r="Y60" s="117"/>
      <c r="Z60" s="123"/>
      <c r="AA60" s="116"/>
      <c r="AB60" s="117"/>
      <c r="AC60" s="66"/>
      <c r="AD60" s="103"/>
      <c r="AE60" s="103"/>
      <c r="AF60" s="103"/>
      <c r="AG60" s="66"/>
      <c r="AH60" s="68"/>
    </row>
    <row r="61" spans="1:34" ht="11.65" customHeight="1" x14ac:dyDescent="0.25">
      <c r="A61" s="9"/>
      <c r="B61" s="9"/>
      <c r="D61" s="9"/>
      <c r="F61" s="9"/>
      <c r="G61" s="9"/>
      <c r="H61" s="9"/>
      <c r="I61" s="9"/>
      <c r="K61" s="9"/>
      <c r="L61" s="9"/>
      <c r="R61" s="24"/>
      <c r="S61" s="66"/>
      <c r="T61" s="66"/>
      <c r="U61" s="116"/>
      <c r="V61" s="117"/>
      <c r="W61" s="66"/>
      <c r="X61" s="116"/>
      <c r="Y61" s="117"/>
      <c r="Z61" s="123"/>
      <c r="AA61" s="116"/>
      <c r="AB61" s="117"/>
      <c r="AC61" s="66"/>
      <c r="AD61" s="111"/>
      <c r="AE61" s="66"/>
      <c r="AF61" s="117"/>
      <c r="AG61" s="66"/>
      <c r="AH61" s="118"/>
    </row>
    <row r="62" spans="1:34" ht="13.5" x14ac:dyDescent="0.25">
      <c r="A62" s="9"/>
      <c r="B62" s="9"/>
      <c r="C62" s="9"/>
      <c r="D62" s="9"/>
      <c r="G62" s="9"/>
      <c r="H62" s="9"/>
      <c r="I62" s="9"/>
      <c r="J62" s="9"/>
      <c r="K62" s="9"/>
      <c r="L62" s="9"/>
      <c r="M62" s="9"/>
      <c r="N62" s="9"/>
      <c r="O62" s="9"/>
      <c r="P62" s="9"/>
      <c r="Q62" s="9"/>
      <c r="S62" s="65"/>
      <c r="T62" s="65"/>
      <c r="U62" s="65"/>
      <c r="V62" s="65"/>
      <c r="W62" s="65"/>
      <c r="X62" s="65"/>
      <c r="Y62" s="65"/>
      <c r="Z62" s="65"/>
      <c r="AA62" s="65"/>
      <c r="AB62" s="65"/>
      <c r="AC62" s="65"/>
      <c r="AD62" s="65"/>
      <c r="AE62" s="65"/>
      <c r="AF62" s="65"/>
      <c r="AG62" s="65"/>
      <c r="AH62" s="65"/>
    </row>
    <row r="63" spans="1:34" x14ac:dyDescent="0.2">
      <c r="S63" s="65"/>
      <c r="T63" s="65"/>
      <c r="U63" s="65"/>
      <c r="V63" s="65"/>
      <c r="W63" s="65"/>
      <c r="X63" s="65"/>
      <c r="Y63" s="65"/>
      <c r="Z63" s="65"/>
      <c r="AA63" s="65"/>
      <c r="AB63" s="65"/>
      <c r="AC63" s="65"/>
      <c r="AD63" s="65"/>
      <c r="AE63" s="65"/>
      <c r="AF63" s="65"/>
      <c r="AG63" s="65"/>
      <c r="AH63" s="65"/>
    </row>
  </sheetData>
  <mergeCells count="6">
    <mergeCell ref="AA48:AE48"/>
    <mergeCell ref="AC7:AE7"/>
    <mergeCell ref="AD9:AE9"/>
    <mergeCell ref="T39:AE39"/>
    <mergeCell ref="T40:AE40"/>
    <mergeCell ref="AA44:AE44"/>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CB314149-FC8A-4645-A689-BDEF50DB3290}">
          <x14:formula1>
            <xm:f>'Drop down list '!$H$2:$H$32</xm:f>
          </x14:formula1>
          <xm:sqref>M12</xm:sqref>
        </x14:dataValidation>
        <x14:dataValidation type="list" allowBlank="1" showInputMessage="1" showErrorMessage="1" xr:uid="{3319EFA6-7BFB-46E7-BF1E-19DF3E9C2AFA}">
          <x14:formula1>
            <xm:f>'Drop down list '!#REF!</xm:f>
          </x14:formula1>
          <xm:sqref>N12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16BD3-D20D-4D5C-849D-C8A1D90CFD53}">
  <sheetPr codeName="Sheet29">
    <tabColor rgb="FFFFFF00"/>
    <pageSetUpPr fitToPage="1"/>
  </sheetPr>
  <dimension ref="A1:AF63"/>
  <sheetViews>
    <sheetView zoomScaleNormal="100" workbookViewId="0">
      <selection activeCell="C23" sqref="C23"/>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8.28515625"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2.7109375"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8.28515625"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2.7109375" style="65" customWidth="1"/>
    <col min="30" max="30" width="10.7109375" style="65" customWidth="1"/>
    <col min="31" max="31" width="1.7109375" style="65" customWidth="1"/>
    <col min="32" max="32" width="5.7109375" style="65" customWidth="1"/>
    <col min="33" max="256" width="9.14062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9.14062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9.14062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9.14062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9.14062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9.14062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9.14062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9.14062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9.14062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9.14062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9.14062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9.14062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9.14062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9.14062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9.14062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9.14062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9.14062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9.14062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9.14062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9.14062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9.14062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9.14062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9.14062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9.14062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9.14062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9.14062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9.14062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9.14062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9.14062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9.14062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9.14062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9.14062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9.14062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9.14062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9.14062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9.14062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9.14062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9.14062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9.14062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9.14062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9.14062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9.14062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9.14062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9.14062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9.14062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9.14062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9.14062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9.14062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9.14062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9.14062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9.14062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9.14062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9.14062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9.14062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9.14062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9.14062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9.14062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9.14062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9.14062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9.14062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9.14062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9.14062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9.14062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9.14062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100</v>
      </c>
      <c r="L7" s="72" t="s">
        <v>17</v>
      </c>
      <c r="Q7" s="66"/>
      <c r="R7" s="66"/>
      <c r="S7" s="73" t="str">
        <f>C7</f>
        <v>Jesselton Shipping (2012) Pte Ltd</v>
      </c>
      <c r="T7" s="66"/>
      <c r="U7" s="66"/>
      <c r="V7" s="66"/>
      <c r="W7" s="66"/>
      <c r="X7" s="66"/>
      <c r="Y7" s="66"/>
      <c r="Z7" s="66"/>
      <c r="AA7" s="66"/>
      <c r="AB7" s="74" t="s">
        <v>17</v>
      </c>
      <c r="AC7" s="66"/>
      <c r="AD7" s="66"/>
      <c r="AE7" s="66"/>
      <c r="AF7" s="68"/>
    </row>
    <row r="8" spans="1:32" x14ac:dyDescent="0.2">
      <c r="C8" s="75" t="s">
        <v>101</v>
      </c>
      <c r="Q8" s="66"/>
      <c r="R8" s="66"/>
      <c r="S8" s="76" t="str">
        <f>C8</f>
        <v xml:space="preserve">2 Boon Leat Terrace </v>
      </c>
      <c r="T8" s="66"/>
      <c r="U8" s="66"/>
      <c r="V8" s="66"/>
      <c r="W8" s="66"/>
      <c r="X8" s="66"/>
      <c r="Y8" s="66"/>
      <c r="Z8" s="66"/>
      <c r="AA8" s="66"/>
      <c r="AB8" s="66"/>
      <c r="AC8" s="66"/>
      <c r="AD8" s="66"/>
      <c r="AE8" s="66"/>
      <c r="AF8" s="68"/>
    </row>
    <row r="9" spans="1:32" x14ac:dyDescent="0.2">
      <c r="C9" s="75" t="s">
        <v>102</v>
      </c>
      <c r="L9" s="75" t="s">
        <v>18</v>
      </c>
      <c r="M9" s="137" t="s">
        <v>161</v>
      </c>
      <c r="Q9" s="66"/>
      <c r="R9" s="66"/>
      <c r="S9" s="76" t="str">
        <f>C9</f>
        <v>#08-01 Harbourside Building 2</v>
      </c>
      <c r="T9" s="66"/>
      <c r="U9" s="66"/>
      <c r="V9" s="66"/>
      <c r="W9" s="66"/>
      <c r="X9" s="66"/>
      <c r="Y9" s="66"/>
      <c r="Z9" s="66"/>
      <c r="AA9" s="66"/>
      <c r="AB9" s="76" t="s">
        <v>18</v>
      </c>
      <c r="AC9" s="76" t="str">
        <f>M9</f>
        <v>DN202010-xx</v>
      </c>
      <c r="AD9" s="66"/>
      <c r="AE9" s="66"/>
      <c r="AF9" s="68"/>
    </row>
    <row r="10" spans="1:32" x14ac:dyDescent="0.2">
      <c r="C10" s="75" t="s">
        <v>104</v>
      </c>
      <c r="Q10" s="66"/>
      <c r="R10" s="66"/>
      <c r="S10" s="76" t="str">
        <f>C10</f>
        <v>Singapore 119844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9</v>
      </c>
      <c r="N12" s="145">
        <v>45574</v>
      </c>
      <c r="Q12" s="66"/>
      <c r="R12" s="66"/>
      <c r="S12" s="76"/>
      <c r="T12" s="66"/>
      <c r="U12" s="66"/>
      <c r="V12" s="66"/>
      <c r="W12" s="66"/>
      <c r="X12" s="66"/>
      <c r="Y12" s="66"/>
      <c r="Z12" s="66"/>
      <c r="AA12" s="66"/>
      <c r="AB12" s="140" t="s">
        <v>19</v>
      </c>
      <c r="AC12" s="77">
        <f>M12</f>
        <v>9</v>
      </c>
      <c r="AD12" s="159">
        <f>N12</f>
        <v>45574</v>
      </c>
      <c r="AE12" s="66"/>
      <c r="AF12" s="68"/>
    </row>
    <row r="13" spans="1:32" ht="12.6" customHeight="1" x14ac:dyDescent="0.2">
      <c r="Q13" s="66"/>
      <c r="R13" s="66"/>
      <c r="S13" s="66"/>
      <c r="T13" s="66"/>
      <c r="U13" s="66"/>
      <c r="V13" s="66"/>
      <c r="W13" s="66"/>
      <c r="X13" s="66"/>
      <c r="Y13" s="66"/>
      <c r="Z13" s="66"/>
      <c r="AA13" s="66"/>
      <c r="AB13" s="66"/>
      <c r="AC13" s="66"/>
      <c r="AD13" s="66"/>
      <c r="AE13" s="66"/>
      <c r="AF13" s="68"/>
    </row>
    <row r="14" spans="1:32" ht="12.6"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ht="12.75" customHeight="1" x14ac:dyDescent="0.2">
      <c r="A15" s="82"/>
      <c r="M15" s="83"/>
      <c r="N15" s="83"/>
      <c r="O15" s="84"/>
      <c r="Q15" s="85"/>
      <c r="R15" s="66"/>
      <c r="S15" s="66"/>
      <c r="T15" s="66"/>
      <c r="U15" s="66"/>
      <c r="V15" s="66"/>
      <c r="W15" s="66"/>
      <c r="X15" s="66"/>
      <c r="Y15" s="66"/>
      <c r="Z15" s="66"/>
      <c r="AA15" s="66"/>
      <c r="AB15" s="66"/>
      <c r="AC15" s="86"/>
      <c r="AD15" s="86"/>
      <c r="AE15" s="87"/>
      <c r="AF15" s="68"/>
    </row>
    <row r="16" spans="1:32" x14ac:dyDescent="0.2">
      <c r="A16" s="84"/>
      <c r="O16" s="84"/>
      <c r="Q16" s="87"/>
      <c r="R16" s="66"/>
      <c r="S16" s="66"/>
      <c r="T16" s="66"/>
      <c r="U16" s="66"/>
      <c r="V16" s="66"/>
      <c r="W16" s="66"/>
      <c r="X16" s="66"/>
      <c r="Y16" s="66"/>
      <c r="Z16" s="66"/>
      <c r="AA16" s="66"/>
      <c r="AB16" s="66"/>
      <c r="AC16" s="66"/>
      <c r="AD16" s="66"/>
      <c r="AE16" s="87"/>
      <c r="AF16" s="68"/>
    </row>
    <row r="17" spans="1:32" x14ac:dyDescent="0.2">
      <c r="A17" s="84"/>
      <c r="C17" s="12"/>
      <c r="D17" s="2"/>
      <c r="E17" s="12"/>
      <c r="F17" s="12"/>
      <c r="G17" s="12"/>
      <c r="H17" s="12"/>
      <c r="I17" s="12"/>
      <c r="J17" s="12"/>
      <c r="O17" s="84"/>
      <c r="Q17" s="87"/>
      <c r="R17" s="66"/>
      <c r="S17" s="66"/>
      <c r="T17" s="66"/>
      <c r="U17" s="66"/>
      <c r="V17" s="66"/>
      <c r="W17" s="66"/>
      <c r="X17" s="66"/>
      <c r="Y17" s="66"/>
      <c r="Z17" s="66"/>
      <c r="AA17" s="66"/>
      <c r="AB17" s="66"/>
      <c r="AC17" s="66"/>
      <c r="AD17" s="66"/>
      <c r="AE17" s="87"/>
      <c r="AF17" s="68"/>
    </row>
    <row r="18" spans="1:32" x14ac:dyDescent="0.2">
      <c r="A18" s="84"/>
      <c r="C18" s="152"/>
      <c r="D18" s="75"/>
      <c r="E18" s="75"/>
      <c r="F18" s="75"/>
      <c r="G18" s="75"/>
      <c r="H18" s="75"/>
      <c r="I18" s="75"/>
      <c r="J18" s="75"/>
      <c r="K18" s="160"/>
      <c r="L18" s="160"/>
      <c r="M18" s="75"/>
      <c r="N18" s="88"/>
      <c r="O18" s="89"/>
      <c r="Q18" s="87"/>
      <c r="R18" s="66"/>
      <c r="S18" s="166"/>
      <c r="T18" s="166"/>
      <c r="U18" s="166"/>
      <c r="V18" s="166"/>
      <c r="W18" s="166"/>
      <c r="X18" s="166"/>
      <c r="Y18" s="166"/>
      <c r="Z18" s="166"/>
      <c r="AA18" s="166"/>
      <c r="AB18" s="166"/>
      <c r="AC18" s="76"/>
      <c r="AD18" s="90"/>
      <c r="AE18" s="91"/>
      <c r="AF18" s="68"/>
    </row>
    <row r="19" spans="1:32" x14ac:dyDescent="0.2">
      <c r="A19" s="84"/>
      <c r="C19" s="75" t="s">
        <v>130</v>
      </c>
      <c r="K19" s="160"/>
      <c r="L19" s="160"/>
      <c r="M19" s="75"/>
      <c r="N19" s="88"/>
      <c r="O19" s="89"/>
      <c r="Q19" s="87"/>
      <c r="R19" s="66"/>
      <c r="S19" s="76" t="str">
        <f>C19</f>
        <v>Detention Charges as billed by Cosco Shipping Lines (Singapore) Pte Ltd</v>
      </c>
      <c r="T19" s="166"/>
      <c r="U19" s="166"/>
      <c r="V19" s="166"/>
      <c r="W19" s="166"/>
      <c r="X19" s="166"/>
      <c r="Y19" s="166"/>
      <c r="Z19" s="166"/>
      <c r="AA19" s="166"/>
      <c r="AB19" s="166"/>
      <c r="AC19" s="76"/>
      <c r="AD19" s="90"/>
      <c r="AE19" s="91"/>
      <c r="AF19" s="68"/>
    </row>
    <row r="20" spans="1:32" x14ac:dyDescent="0.2">
      <c r="A20" s="84"/>
      <c r="C20" s="137" t="s">
        <v>133</v>
      </c>
      <c r="E20" s="75"/>
      <c r="F20" s="75"/>
      <c r="G20" s="75"/>
      <c r="H20" s="168"/>
      <c r="I20" s="168"/>
      <c r="K20" s="160"/>
      <c r="L20" s="160"/>
      <c r="M20" s="75"/>
      <c r="N20" s="131"/>
      <c r="O20" s="89"/>
      <c r="Q20" s="87"/>
      <c r="R20" s="66"/>
      <c r="S20" s="76" t="str">
        <f>C20</f>
        <v>Invoice No. OFTE24104461 attached</v>
      </c>
      <c r="T20" s="166"/>
      <c r="U20" s="166"/>
      <c r="V20" s="166"/>
      <c r="W20" s="166"/>
      <c r="X20" s="166"/>
      <c r="Y20" s="166"/>
      <c r="Z20" s="166"/>
      <c r="AA20" s="166"/>
      <c r="AB20" s="166"/>
      <c r="AC20" s="76"/>
      <c r="AD20" s="90"/>
      <c r="AE20" s="91"/>
      <c r="AF20" s="68"/>
    </row>
    <row r="21" spans="1:32" x14ac:dyDescent="0.2">
      <c r="A21" s="84"/>
      <c r="C21" s="75" t="s">
        <v>131</v>
      </c>
      <c r="D21" s="160"/>
      <c r="E21" s="160"/>
      <c r="F21" s="160"/>
      <c r="G21" s="160"/>
      <c r="H21" s="160"/>
      <c r="I21" s="160"/>
      <c r="J21" s="160"/>
      <c r="K21" s="160"/>
      <c r="L21" s="160"/>
      <c r="M21" s="75" t="s">
        <v>20</v>
      </c>
      <c r="N21" s="131">
        <v>1400</v>
      </c>
      <c r="O21" s="89"/>
      <c r="Q21" s="87"/>
      <c r="R21" s="66"/>
      <c r="S21" s="76" t="str">
        <f>C21</f>
        <v>ex Eponyma V.2410W B/L No. JEPY2410W-BKI13 arrived 29.08.24</v>
      </c>
      <c r="T21" s="166"/>
      <c r="U21" s="166"/>
      <c r="V21" s="166"/>
      <c r="W21" s="166"/>
      <c r="X21" s="166"/>
      <c r="Y21" s="166"/>
      <c r="Z21" s="166"/>
      <c r="AA21" s="166"/>
      <c r="AB21" s="166"/>
      <c r="AC21" s="76" t="str">
        <f>M21</f>
        <v>S$</v>
      </c>
      <c r="AD21" s="90">
        <f>N21</f>
        <v>1400</v>
      </c>
      <c r="AE21" s="91"/>
      <c r="AF21" s="68"/>
    </row>
    <row r="22" spans="1:32" x14ac:dyDescent="0.2">
      <c r="A22" s="84"/>
      <c r="C22" s="63" t="s">
        <v>132</v>
      </c>
      <c r="D22" s="160"/>
      <c r="E22" s="160"/>
      <c r="F22" s="160"/>
      <c r="G22" s="160"/>
      <c r="H22" s="160"/>
      <c r="I22" s="160"/>
      <c r="J22" s="160"/>
      <c r="K22" s="160"/>
      <c r="L22" s="160"/>
      <c r="M22" s="75"/>
      <c r="N22" s="88"/>
      <c r="O22" s="89"/>
      <c r="Q22" s="87"/>
      <c r="R22" s="66"/>
      <c r="S22" s="167" t="str">
        <f>C22</f>
        <v>(attached Email dated 9 Oct 2024)</v>
      </c>
      <c r="T22" s="161"/>
      <c r="U22" s="161"/>
      <c r="V22" s="161"/>
      <c r="W22" s="161"/>
      <c r="X22" s="161"/>
      <c r="Y22" s="161"/>
      <c r="Z22" s="161"/>
      <c r="AA22" s="161"/>
      <c r="AB22" s="161"/>
      <c r="AC22" s="76"/>
      <c r="AD22" s="90"/>
      <c r="AE22" s="91"/>
      <c r="AF22" s="68"/>
    </row>
    <row r="23" spans="1:32" x14ac:dyDescent="0.2">
      <c r="A23" s="84"/>
      <c r="C23" s="92"/>
      <c r="D23" s="160"/>
      <c r="E23" s="160"/>
      <c r="F23" s="160"/>
      <c r="G23" s="160"/>
      <c r="H23" s="160"/>
      <c r="I23" s="160"/>
      <c r="J23" s="160"/>
      <c r="K23" s="160"/>
      <c r="L23" s="160"/>
      <c r="M23" s="75"/>
      <c r="N23" s="131"/>
      <c r="O23" s="89"/>
      <c r="Q23" s="87"/>
      <c r="R23" s="66"/>
      <c r="S23" s="76"/>
      <c r="T23" s="76"/>
      <c r="U23" s="76"/>
      <c r="V23" s="76"/>
      <c r="W23" s="76"/>
      <c r="X23" s="76"/>
      <c r="Y23" s="76"/>
      <c r="Z23" s="76"/>
      <c r="AA23" s="66"/>
      <c r="AB23" s="76"/>
      <c r="AC23" s="75"/>
      <c r="AD23" s="90"/>
      <c r="AE23" s="91"/>
      <c r="AF23" s="68"/>
    </row>
    <row r="24" spans="1:32" x14ac:dyDescent="0.2">
      <c r="A24" s="84"/>
      <c r="C24" s="92"/>
      <c r="D24" s="75"/>
      <c r="E24" s="75"/>
      <c r="F24" s="75"/>
      <c r="G24" s="75"/>
      <c r="H24" s="75"/>
      <c r="I24" s="75"/>
      <c r="J24" s="75"/>
      <c r="L24" s="75"/>
      <c r="M24" s="75"/>
      <c r="N24" s="88"/>
      <c r="O24" s="89"/>
      <c r="Q24" s="87"/>
      <c r="R24" s="66"/>
      <c r="S24" s="93"/>
      <c r="T24" s="76"/>
      <c r="U24" s="76"/>
      <c r="V24" s="76"/>
      <c r="W24" s="76"/>
      <c r="X24" s="76"/>
      <c r="Y24" s="76"/>
      <c r="Z24" s="76"/>
      <c r="AA24" s="66"/>
      <c r="AB24" s="76"/>
      <c r="AC24" s="76"/>
      <c r="AD24" s="90"/>
      <c r="AE24" s="91"/>
      <c r="AF24" s="68"/>
    </row>
    <row r="25" spans="1:32" x14ac:dyDescent="0.2">
      <c r="A25" s="84"/>
      <c r="D25" s="75"/>
      <c r="E25" s="75"/>
      <c r="F25" s="75"/>
      <c r="G25" s="75"/>
      <c r="H25" s="75"/>
      <c r="I25" s="75"/>
      <c r="J25" s="75"/>
      <c r="K25" s="75"/>
      <c r="L25" s="75"/>
      <c r="M25" s="94"/>
      <c r="N25" s="95"/>
      <c r="O25" s="89"/>
      <c r="Q25" s="87"/>
      <c r="R25" s="66"/>
      <c r="S25" s="66"/>
      <c r="T25" s="76"/>
      <c r="U25" s="76"/>
      <c r="V25" s="76"/>
      <c r="W25" s="76"/>
      <c r="X25" s="76"/>
      <c r="Y25" s="76"/>
      <c r="Z25" s="76"/>
      <c r="AA25" s="76"/>
      <c r="AB25" s="76"/>
      <c r="AC25" s="96"/>
      <c r="AD25" s="97"/>
      <c r="AE25" s="91"/>
      <c r="AF25" s="68"/>
    </row>
    <row r="26" spans="1:32" ht="9.9499999999999993" customHeight="1" x14ac:dyDescent="0.2">
      <c r="A26" s="84"/>
      <c r="D26" s="75"/>
      <c r="E26" s="75"/>
      <c r="F26" s="75"/>
      <c r="G26" s="75"/>
      <c r="H26" s="75"/>
      <c r="I26" s="75"/>
      <c r="J26" s="75"/>
      <c r="K26" s="75"/>
      <c r="L26" s="75"/>
      <c r="M26" s="75"/>
      <c r="N26" s="88"/>
      <c r="O26" s="89"/>
      <c r="Q26" s="87"/>
      <c r="R26" s="66"/>
      <c r="S26" s="66"/>
      <c r="T26" s="76"/>
      <c r="U26" s="76"/>
      <c r="V26" s="76"/>
      <c r="W26" s="76"/>
      <c r="X26" s="76"/>
      <c r="Y26" s="76"/>
      <c r="Z26" s="76"/>
      <c r="AA26" s="76"/>
      <c r="AB26" s="76"/>
      <c r="AC26" s="76"/>
      <c r="AD26" s="90"/>
      <c r="AE26" s="91"/>
      <c r="AF26" s="68"/>
    </row>
    <row r="27" spans="1:32" x14ac:dyDescent="0.2">
      <c r="A27" s="84"/>
      <c r="D27" s="75"/>
      <c r="E27" s="75"/>
      <c r="F27" s="75"/>
      <c r="G27" s="75"/>
      <c r="H27" s="75"/>
      <c r="I27" s="75"/>
      <c r="J27" s="75"/>
      <c r="K27" s="75"/>
      <c r="L27" s="75"/>
      <c r="M27" s="75" t="s">
        <v>20</v>
      </c>
      <c r="N27" s="88">
        <f>SUM(N21:N25)</f>
        <v>1400</v>
      </c>
      <c r="O27" s="89"/>
      <c r="Q27" s="87"/>
      <c r="R27" s="66"/>
      <c r="S27" s="66"/>
      <c r="T27" s="76"/>
      <c r="U27" s="76"/>
      <c r="V27" s="76"/>
      <c r="W27" s="76"/>
      <c r="X27" s="76"/>
      <c r="Y27" s="76"/>
      <c r="Z27" s="76"/>
      <c r="AA27" s="76"/>
      <c r="AB27" s="76"/>
      <c r="AC27" s="76" t="s">
        <v>20</v>
      </c>
      <c r="AD27" s="90">
        <f>SUM(AD20:AD25)</f>
        <v>1400</v>
      </c>
      <c r="AE27" s="91"/>
      <c r="AF27" s="68"/>
    </row>
    <row r="28" spans="1:32" ht="9.9499999999999993" customHeight="1" thickBot="1" x14ac:dyDescent="0.25">
      <c r="A28" s="84"/>
      <c r="D28" s="75"/>
      <c r="E28" s="75"/>
      <c r="F28" s="75"/>
      <c r="G28" s="75"/>
      <c r="H28" s="75"/>
      <c r="I28" s="75"/>
      <c r="J28" s="75"/>
      <c r="K28" s="75"/>
      <c r="L28" s="75"/>
      <c r="M28" s="98"/>
      <c r="N28" s="98"/>
      <c r="O28" s="99"/>
      <c r="Q28" s="87"/>
      <c r="R28" s="66"/>
      <c r="S28" s="66"/>
      <c r="T28" s="76"/>
      <c r="U28" s="76"/>
      <c r="V28" s="76"/>
      <c r="W28" s="76"/>
      <c r="X28" s="76"/>
      <c r="Y28" s="76"/>
      <c r="Z28" s="76"/>
      <c r="AA28" s="76"/>
      <c r="AB28" s="76"/>
      <c r="AC28" s="100"/>
      <c r="AD28" s="100"/>
      <c r="AE28" s="101"/>
      <c r="AF28" s="68"/>
    </row>
    <row r="29" spans="1:32" ht="9.9499999999999993" customHeight="1" thickTop="1" x14ac:dyDescent="0.2">
      <c r="A29" s="84"/>
      <c r="D29" s="75"/>
      <c r="E29" s="75"/>
      <c r="F29" s="75"/>
      <c r="G29" s="75"/>
      <c r="H29" s="75"/>
      <c r="I29" s="75"/>
      <c r="J29" s="75"/>
      <c r="K29" s="75"/>
      <c r="L29" s="75"/>
      <c r="M29" s="75"/>
      <c r="N29" s="75"/>
      <c r="O29" s="99"/>
      <c r="Q29" s="87"/>
      <c r="R29" s="66"/>
      <c r="S29" s="66"/>
      <c r="T29" s="76"/>
      <c r="U29" s="76"/>
      <c r="V29" s="76"/>
      <c r="W29" s="76"/>
      <c r="X29" s="76"/>
      <c r="Y29" s="76"/>
      <c r="Z29" s="76"/>
      <c r="AA29" s="76"/>
      <c r="AB29" s="76"/>
      <c r="AC29" s="76"/>
      <c r="AD29" s="76"/>
      <c r="AE29" s="101"/>
      <c r="AF29" s="68"/>
    </row>
    <row r="30" spans="1:32" ht="9.9499999999999993" customHeight="1" x14ac:dyDescent="0.2">
      <c r="A30" s="84"/>
      <c r="D30" s="75"/>
      <c r="E30" s="75"/>
      <c r="F30" s="75"/>
      <c r="G30" s="75"/>
      <c r="H30" s="75"/>
      <c r="I30" s="75"/>
      <c r="J30" s="75"/>
      <c r="K30" s="75"/>
      <c r="L30" s="75"/>
      <c r="M30" s="75"/>
      <c r="N30" s="75"/>
      <c r="O30" s="99"/>
      <c r="Q30" s="87"/>
      <c r="R30" s="66"/>
      <c r="S30" s="66"/>
      <c r="T30" s="76"/>
      <c r="U30" s="76"/>
      <c r="V30" s="76"/>
      <c r="W30" s="76"/>
      <c r="X30" s="76"/>
      <c r="Y30" s="76"/>
      <c r="Z30" s="76"/>
      <c r="AA30" s="76"/>
      <c r="AB30" s="76"/>
      <c r="AC30" s="76"/>
      <c r="AD30" s="76"/>
      <c r="AE30" s="101"/>
      <c r="AF30" s="68"/>
    </row>
    <row r="31" spans="1:32" ht="9.9499999999999993" customHeight="1" x14ac:dyDescent="0.2">
      <c r="A31" s="84"/>
      <c r="D31" s="75"/>
      <c r="E31" s="75"/>
      <c r="F31" s="75"/>
      <c r="G31" s="75"/>
      <c r="H31" s="75"/>
      <c r="I31" s="75"/>
      <c r="J31" s="75"/>
      <c r="K31" s="75"/>
      <c r="L31" s="75"/>
      <c r="M31" s="75"/>
      <c r="N31" s="75"/>
      <c r="O31" s="99"/>
      <c r="Q31" s="87"/>
      <c r="R31" s="66"/>
      <c r="S31" s="66"/>
      <c r="T31" s="76"/>
      <c r="U31" s="76"/>
      <c r="V31" s="76"/>
      <c r="W31" s="76"/>
      <c r="X31" s="76"/>
      <c r="Y31" s="76"/>
      <c r="Z31" s="76"/>
      <c r="AA31" s="76"/>
      <c r="AB31" s="76"/>
      <c r="AC31" s="76"/>
      <c r="AD31" s="76"/>
      <c r="AE31" s="101"/>
      <c r="AF31" s="68"/>
    </row>
    <row r="32" spans="1:32" ht="12.75" customHeight="1" x14ac:dyDescent="0.2">
      <c r="A32" s="84"/>
      <c r="D32" s="75"/>
      <c r="E32" s="75"/>
      <c r="F32" s="75"/>
      <c r="G32" s="75"/>
      <c r="H32" s="75"/>
      <c r="I32" s="75"/>
      <c r="J32" s="75"/>
      <c r="K32" s="75"/>
      <c r="L32" s="75"/>
      <c r="M32" s="75"/>
      <c r="N32" s="75"/>
      <c r="O32" s="99"/>
      <c r="Q32" s="87"/>
      <c r="R32" s="66"/>
      <c r="S32" s="66"/>
      <c r="T32" s="76"/>
      <c r="U32" s="76"/>
      <c r="V32" s="76"/>
      <c r="W32" s="76"/>
      <c r="X32" s="76"/>
      <c r="Y32" s="76"/>
      <c r="Z32" s="76"/>
      <c r="AA32" s="76"/>
      <c r="AB32" s="76"/>
      <c r="AC32" s="76"/>
      <c r="AD32" s="76"/>
      <c r="AE32" s="101"/>
      <c r="AF32" s="68"/>
    </row>
    <row r="33" spans="1:32" x14ac:dyDescent="0.2">
      <c r="A33" s="84"/>
      <c r="C33" s="75" t="s">
        <v>21</v>
      </c>
      <c r="E33" s="75"/>
      <c r="F33" s="144" t="s">
        <v>129</v>
      </c>
      <c r="G33" s="75"/>
      <c r="H33" s="75"/>
      <c r="I33" s="75"/>
      <c r="J33" s="75"/>
      <c r="K33" s="75"/>
      <c r="L33" s="75"/>
      <c r="M33" s="75"/>
      <c r="N33" s="75"/>
      <c r="O33" s="99"/>
      <c r="Q33" s="87"/>
      <c r="R33" s="66"/>
      <c r="S33" s="76" t="str">
        <f>C33</f>
        <v>Singapore Dollars</v>
      </c>
      <c r="T33" s="66"/>
      <c r="U33" s="76"/>
      <c r="V33" s="76" t="str">
        <f>F33</f>
        <v>One Thousand Four Hundred only</v>
      </c>
      <c r="W33" s="76"/>
      <c r="X33" s="76"/>
      <c r="Y33" s="76"/>
      <c r="Z33" s="76"/>
      <c r="AA33" s="76"/>
      <c r="AB33" s="76"/>
      <c r="AC33" s="76"/>
      <c r="AD33" s="76"/>
      <c r="AE33" s="101"/>
      <c r="AF33" s="68"/>
    </row>
    <row r="34" spans="1:32" ht="12.75" customHeight="1" x14ac:dyDescent="0.2">
      <c r="A34" s="84"/>
      <c r="D34" s="75"/>
      <c r="E34" s="75"/>
      <c r="F34" s="75"/>
      <c r="G34" s="75"/>
      <c r="H34" s="75"/>
      <c r="I34" s="75"/>
      <c r="J34" s="75"/>
      <c r="K34" s="75"/>
      <c r="L34" s="75"/>
      <c r="M34" s="75"/>
      <c r="N34" s="75"/>
      <c r="O34" s="99"/>
      <c r="Q34" s="87"/>
      <c r="R34" s="66"/>
      <c r="S34" s="66"/>
      <c r="T34" s="76"/>
      <c r="U34" s="76"/>
      <c r="V34" s="76"/>
      <c r="W34" s="76"/>
      <c r="X34" s="76"/>
      <c r="Y34" s="76"/>
      <c r="Z34" s="76"/>
      <c r="AA34" s="76"/>
      <c r="AB34" s="76"/>
      <c r="AC34" s="76"/>
      <c r="AD34" s="76"/>
      <c r="AE34" s="101"/>
      <c r="AF34" s="68"/>
    </row>
    <row r="35" spans="1:32" ht="12.75" customHeight="1" x14ac:dyDescent="0.2">
      <c r="A35" s="84"/>
      <c r="O35" s="84"/>
      <c r="Q35" s="87"/>
      <c r="R35" s="66"/>
      <c r="S35" s="66"/>
      <c r="T35" s="66"/>
      <c r="U35" s="66"/>
      <c r="V35" s="66"/>
      <c r="W35" s="66"/>
      <c r="X35" s="66"/>
      <c r="Y35" s="66"/>
      <c r="Z35" s="66"/>
      <c r="AA35" s="66"/>
      <c r="AB35" s="66"/>
      <c r="AC35" s="66"/>
      <c r="AD35" s="66"/>
      <c r="AE35" s="87"/>
      <c r="AF35" s="68"/>
    </row>
    <row r="36" spans="1:32" ht="12.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45" customHeight="1" x14ac:dyDescent="0.25">
      <c r="K53" s="110"/>
      <c r="L53" s="110"/>
      <c r="Q53" s="111" t="s">
        <v>27</v>
      </c>
      <c r="S53" s="112"/>
      <c r="T53" s="66"/>
      <c r="U53" s="66"/>
      <c r="V53" s="66"/>
      <c r="W53" s="66"/>
      <c r="X53" s="66"/>
      <c r="Y53" s="66"/>
      <c r="Z53" s="66"/>
      <c r="AA53" s="66"/>
      <c r="AB53" s="66"/>
      <c r="AC53" s="66"/>
      <c r="AD53" s="66"/>
      <c r="AE53" s="66"/>
      <c r="AF53" s="113" t="s">
        <v>28</v>
      </c>
    </row>
    <row r="54" spans="1:32" ht="11.45" customHeight="1" x14ac:dyDescent="0.25">
      <c r="K54" s="110"/>
      <c r="L54" s="110"/>
      <c r="Q54" s="112"/>
      <c r="R54" s="66"/>
      <c r="S54" s="112"/>
      <c r="T54" s="66"/>
      <c r="U54" s="103"/>
      <c r="V54" s="103"/>
      <c r="W54" s="103"/>
      <c r="X54" s="103"/>
      <c r="Y54" s="103"/>
      <c r="Z54" s="103"/>
      <c r="AA54" s="66"/>
      <c r="AB54" s="114"/>
      <c r="AC54" s="103"/>
      <c r="AD54" s="103"/>
      <c r="AE54" s="103"/>
      <c r="AF54" s="115"/>
    </row>
    <row r="55" spans="1:32" ht="11.45" customHeight="1" x14ac:dyDescent="0.25">
      <c r="K55" s="110"/>
      <c r="L55" s="110"/>
      <c r="Q55" s="112"/>
      <c r="R55" s="66"/>
      <c r="S55" s="112"/>
      <c r="T55" s="66"/>
      <c r="U55" s="103"/>
      <c r="V55" s="103"/>
      <c r="W55" s="103"/>
      <c r="X55" s="103"/>
      <c r="Y55" s="116"/>
      <c r="Z55" s="117"/>
      <c r="AA55" s="66"/>
      <c r="AB55" s="111"/>
      <c r="AC55" s="66"/>
      <c r="AD55" s="117"/>
      <c r="AE55" s="103"/>
      <c r="AF55" s="118"/>
    </row>
    <row r="56" spans="1:32" ht="11.45" customHeight="1" x14ac:dyDescent="0.25">
      <c r="A56" s="110"/>
      <c r="B56" s="110"/>
      <c r="D56" s="75"/>
      <c r="K56" s="110"/>
      <c r="L56" s="110"/>
      <c r="Q56" s="119"/>
      <c r="R56" s="66"/>
      <c r="S56" s="120" t="s">
        <v>29</v>
      </c>
      <c r="T56" s="108"/>
      <c r="U56" s="103"/>
      <c r="V56" s="103"/>
      <c r="W56" s="103"/>
      <c r="X56" s="103"/>
      <c r="Y56" s="116"/>
      <c r="Z56" s="117"/>
      <c r="AA56" s="66"/>
      <c r="AB56" s="111"/>
      <c r="AC56" s="66"/>
      <c r="AD56" s="117"/>
      <c r="AE56" s="66"/>
      <c r="AF56" s="118"/>
    </row>
    <row r="57" spans="1:32" ht="11.45" customHeight="1" x14ac:dyDescent="0.25">
      <c r="A57" s="110"/>
      <c r="B57" s="110"/>
      <c r="D57" s="92"/>
      <c r="K57" s="110"/>
      <c r="L57" s="110"/>
      <c r="R57" s="121"/>
      <c r="S57" s="66"/>
      <c r="T57" s="66"/>
      <c r="U57" s="103"/>
      <c r="V57" s="114"/>
      <c r="W57" s="103"/>
      <c r="X57" s="103"/>
      <c r="Y57" s="116"/>
      <c r="Z57" s="117"/>
      <c r="AA57" s="66"/>
      <c r="AB57" s="111"/>
      <c r="AC57" s="66"/>
      <c r="AD57" s="117"/>
      <c r="AE57" s="66"/>
      <c r="AF57" s="118"/>
    </row>
    <row r="58" spans="1:32" ht="11.4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4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4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4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4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printOptions horizontalCentered="1"/>
  <pageMargins left="0.7" right="0.7" top="0.75" bottom="0.75" header="0.3" footer="0.3"/>
  <pageSetup paperSize="9" fitToWidth="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264B0-7063-4F3F-BA95-C5EA07232DF3}">
  <sheetPr codeName="Sheet30">
    <tabColor rgb="FFFFFF00"/>
    <pageSetUpPr fitToPage="1"/>
  </sheetPr>
  <dimension ref="A1:AF63"/>
  <sheetViews>
    <sheetView zoomScaleNormal="100" workbookViewId="0">
      <selection activeCell="C23" sqref="C23"/>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8.28515625"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2.7109375"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8.28515625"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2.7109375" style="65" customWidth="1"/>
    <col min="30" max="30" width="10.7109375" style="65" customWidth="1"/>
    <col min="31" max="31" width="1.7109375" style="65" customWidth="1"/>
    <col min="32" max="32" width="5.7109375" style="65" customWidth="1"/>
    <col min="33" max="256" width="9.14062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9.14062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9.14062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9.14062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9.14062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9.14062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9.14062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9.14062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9.14062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9.14062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9.14062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9.14062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9.14062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9.14062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9.14062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9.14062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9.14062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9.14062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9.14062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9.14062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9.14062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9.14062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9.14062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9.14062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9.14062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9.14062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9.14062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9.14062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9.14062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9.14062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9.14062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9.14062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9.14062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9.14062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9.14062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9.14062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9.14062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9.14062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9.14062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9.14062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9.14062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9.14062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9.14062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9.14062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9.14062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9.14062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9.14062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9.14062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9.14062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9.14062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9.14062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9.14062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9.14062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9.14062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9.14062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9.14062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9.14062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9.14062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9.14062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9.14062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9.14062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9.14062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9.14062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9.14062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100</v>
      </c>
      <c r="L7" s="72" t="s">
        <v>17</v>
      </c>
      <c r="Q7" s="66"/>
      <c r="R7" s="66"/>
      <c r="S7" s="73" t="str">
        <f>C7</f>
        <v>Jesselton Shipping (2012) Pte Ltd</v>
      </c>
      <c r="T7" s="66"/>
      <c r="U7" s="66"/>
      <c r="V7" s="66"/>
      <c r="W7" s="66"/>
      <c r="X7" s="66"/>
      <c r="Y7" s="66"/>
      <c r="Z7" s="66"/>
      <c r="AA7" s="66"/>
      <c r="AB7" s="74" t="s">
        <v>17</v>
      </c>
      <c r="AC7" s="66"/>
      <c r="AD7" s="66"/>
      <c r="AE7" s="66"/>
      <c r="AF7" s="68"/>
    </row>
    <row r="8" spans="1:32" x14ac:dyDescent="0.2">
      <c r="C8" s="75" t="s">
        <v>101</v>
      </c>
      <c r="Q8" s="66"/>
      <c r="R8" s="66"/>
      <c r="S8" s="76" t="str">
        <f>C8</f>
        <v xml:space="preserve">2 Boon Leat Terrace </v>
      </c>
      <c r="T8" s="66"/>
      <c r="U8" s="66"/>
      <c r="V8" s="66"/>
      <c r="W8" s="66"/>
      <c r="X8" s="66"/>
      <c r="Y8" s="66"/>
      <c r="Z8" s="66"/>
      <c r="AA8" s="66"/>
      <c r="AB8" s="66"/>
      <c r="AC8" s="66"/>
      <c r="AD8" s="66"/>
      <c r="AE8" s="66"/>
      <c r="AF8" s="68"/>
    </row>
    <row r="9" spans="1:32" x14ac:dyDescent="0.2">
      <c r="C9" s="75" t="s">
        <v>102</v>
      </c>
      <c r="L9" s="75" t="s">
        <v>18</v>
      </c>
      <c r="M9" s="137" t="s">
        <v>145</v>
      </c>
      <c r="Q9" s="66"/>
      <c r="R9" s="66"/>
      <c r="S9" s="76" t="str">
        <f>C9</f>
        <v>#08-01 Harbourside Building 2</v>
      </c>
      <c r="T9" s="66"/>
      <c r="U9" s="66"/>
      <c r="V9" s="66"/>
      <c r="W9" s="66"/>
      <c r="X9" s="66"/>
      <c r="Y9" s="66"/>
      <c r="Z9" s="66"/>
      <c r="AA9" s="66"/>
      <c r="AB9" s="76" t="s">
        <v>18</v>
      </c>
      <c r="AC9" s="76" t="str">
        <f>M9</f>
        <v>DN202504-13</v>
      </c>
      <c r="AD9" s="66"/>
      <c r="AE9" s="66"/>
      <c r="AF9" s="68"/>
    </row>
    <row r="10" spans="1:32" x14ac:dyDescent="0.2">
      <c r="C10" s="75" t="s">
        <v>104</v>
      </c>
      <c r="Q10" s="66"/>
      <c r="R10" s="66"/>
      <c r="S10" s="76" t="str">
        <f>C10</f>
        <v>Singapore 119844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10</v>
      </c>
      <c r="N12" s="145">
        <v>45748</v>
      </c>
      <c r="Q12" s="66"/>
      <c r="R12" s="66"/>
      <c r="S12" s="76"/>
      <c r="T12" s="66"/>
      <c r="U12" s="66"/>
      <c r="V12" s="66"/>
      <c r="W12" s="66"/>
      <c r="X12" s="66"/>
      <c r="Y12" s="66"/>
      <c r="Z12" s="66"/>
      <c r="AA12" s="66"/>
      <c r="AB12" s="140" t="s">
        <v>19</v>
      </c>
      <c r="AC12" s="77">
        <f>M12</f>
        <v>10</v>
      </c>
      <c r="AD12" s="159">
        <f>N12</f>
        <v>45748</v>
      </c>
      <c r="AE12" s="66"/>
      <c r="AF12" s="68"/>
    </row>
    <row r="13" spans="1:32" ht="12.6" customHeight="1" x14ac:dyDescent="0.2">
      <c r="Q13" s="66"/>
      <c r="R13" s="66"/>
      <c r="S13" s="66"/>
      <c r="T13" s="66"/>
      <c r="U13" s="66"/>
      <c r="V13" s="66"/>
      <c r="W13" s="66"/>
      <c r="X13" s="66"/>
      <c r="Y13" s="66"/>
      <c r="Z13" s="66"/>
      <c r="AA13" s="66"/>
      <c r="AB13" s="66"/>
      <c r="AC13" s="66"/>
      <c r="AD13" s="66"/>
      <c r="AE13" s="66"/>
      <c r="AF13" s="68"/>
    </row>
    <row r="14" spans="1:32" ht="12.6"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ht="9.75" customHeight="1" x14ac:dyDescent="0.2">
      <c r="A15" s="82"/>
      <c r="M15" s="83"/>
      <c r="N15" s="83"/>
      <c r="O15" s="84"/>
      <c r="Q15" s="85"/>
      <c r="R15" s="66"/>
      <c r="S15" s="66"/>
      <c r="T15" s="66"/>
      <c r="U15" s="66"/>
      <c r="V15" s="66"/>
      <c r="W15" s="66"/>
      <c r="X15" s="66"/>
      <c r="Y15" s="66"/>
      <c r="Z15" s="66"/>
      <c r="AA15" s="66"/>
      <c r="AB15" s="66"/>
      <c r="AC15" s="86"/>
      <c r="AD15" s="86"/>
      <c r="AE15" s="87"/>
      <c r="AF15" s="68"/>
    </row>
    <row r="16" spans="1:32" ht="12.75" customHeight="1" x14ac:dyDescent="0.2">
      <c r="A16" s="84"/>
      <c r="C16" s="63" t="s">
        <v>137</v>
      </c>
      <c r="O16" s="84"/>
      <c r="Q16" s="87"/>
      <c r="R16" s="66"/>
      <c r="S16" s="63" t="s">
        <v>137</v>
      </c>
      <c r="T16" s="63"/>
      <c r="U16" s="63"/>
      <c r="V16" s="63"/>
      <c r="W16" s="63"/>
      <c r="X16" s="63"/>
      <c r="Y16" s="63"/>
      <c r="Z16" s="63"/>
      <c r="AA16" s="63"/>
      <c r="AB16" s="63"/>
      <c r="AC16" s="63"/>
      <c r="AD16" s="63"/>
      <c r="AE16" s="87"/>
      <c r="AF16" s="68"/>
    </row>
    <row r="17" spans="1:32" ht="12.75" customHeight="1" x14ac:dyDescent="0.2">
      <c r="A17" s="84"/>
      <c r="C17" s="63" t="s">
        <v>139</v>
      </c>
      <c r="O17" s="84"/>
      <c r="Q17" s="87"/>
      <c r="R17" s="66"/>
      <c r="S17" s="63" t="s">
        <v>139</v>
      </c>
      <c r="T17" s="63"/>
      <c r="U17" s="63"/>
      <c r="V17" s="63"/>
      <c r="W17" s="63"/>
      <c r="X17" s="63"/>
      <c r="Y17" s="63"/>
      <c r="Z17" s="63"/>
      <c r="AA17" s="63"/>
      <c r="AB17" s="63"/>
      <c r="AC17" s="63"/>
      <c r="AD17" s="63"/>
      <c r="AE17" s="87"/>
      <c r="AF17" s="68"/>
    </row>
    <row r="18" spans="1:32" ht="12.75" customHeight="1" x14ac:dyDescent="0.2">
      <c r="A18" s="84"/>
      <c r="C18" s="63" t="s">
        <v>140</v>
      </c>
      <c r="D18" s="160"/>
      <c r="E18" s="160"/>
      <c r="F18" s="160"/>
      <c r="G18" s="160"/>
      <c r="H18" s="160"/>
      <c r="I18" s="160"/>
      <c r="J18" s="160"/>
      <c r="K18" s="160"/>
      <c r="L18" s="160"/>
      <c r="M18" s="75"/>
      <c r="N18" s="88"/>
      <c r="O18" s="89"/>
      <c r="Q18" s="87"/>
      <c r="R18" s="66"/>
      <c r="S18" s="63" t="s">
        <v>140</v>
      </c>
      <c r="T18" s="160"/>
      <c r="U18" s="160"/>
      <c r="V18" s="160"/>
      <c r="W18" s="160"/>
      <c r="X18" s="160"/>
      <c r="Y18" s="160"/>
      <c r="Z18" s="160"/>
      <c r="AA18" s="160"/>
      <c r="AB18" s="160"/>
      <c r="AC18" s="75"/>
      <c r="AD18" s="88"/>
      <c r="AE18" s="91"/>
      <c r="AF18" s="68"/>
    </row>
    <row r="19" spans="1:32" x14ac:dyDescent="0.2">
      <c r="A19" s="84"/>
      <c r="C19" s="63" t="s">
        <v>141</v>
      </c>
      <c r="D19" s="160"/>
      <c r="E19" s="160"/>
      <c r="F19" s="160"/>
      <c r="G19" s="160"/>
      <c r="H19" s="160"/>
      <c r="I19" s="160"/>
      <c r="J19" s="160"/>
      <c r="K19" s="160"/>
      <c r="L19" s="160"/>
      <c r="M19" s="75"/>
      <c r="N19" s="88"/>
      <c r="O19" s="89"/>
      <c r="Q19" s="87"/>
      <c r="R19" s="66"/>
      <c r="S19" s="63" t="s">
        <v>141</v>
      </c>
      <c r="T19" s="160"/>
      <c r="U19" s="160"/>
      <c r="V19" s="160"/>
      <c r="W19" s="160"/>
      <c r="X19" s="160"/>
      <c r="Y19" s="160"/>
      <c r="Z19" s="160"/>
      <c r="AA19" s="160"/>
      <c r="AB19" s="160"/>
      <c r="AC19" s="75"/>
      <c r="AD19" s="88"/>
      <c r="AE19" s="91"/>
      <c r="AF19" s="68"/>
    </row>
    <row r="20" spans="1:32" x14ac:dyDescent="0.2">
      <c r="A20" s="84"/>
      <c r="C20" s="63" t="s">
        <v>142</v>
      </c>
      <c r="D20" s="160"/>
      <c r="E20" s="160"/>
      <c r="F20" s="160"/>
      <c r="G20" s="160"/>
      <c r="H20" s="160"/>
      <c r="I20" s="160"/>
      <c r="J20" s="160"/>
      <c r="K20" s="160"/>
      <c r="L20" s="160"/>
      <c r="O20" s="89"/>
      <c r="Q20" s="87"/>
      <c r="R20" s="66"/>
      <c r="S20" s="63" t="s">
        <v>142</v>
      </c>
      <c r="T20" s="160"/>
      <c r="U20" s="160"/>
      <c r="V20" s="160"/>
      <c r="W20" s="160"/>
      <c r="X20" s="160"/>
      <c r="Y20" s="160"/>
      <c r="Z20" s="160"/>
      <c r="AA20" s="160"/>
      <c r="AB20" s="160"/>
      <c r="AC20" s="63"/>
      <c r="AD20" s="63"/>
      <c r="AE20" s="91"/>
      <c r="AF20" s="68"/>
    </row>
    <row r="21" spans="1:32" x14ac:dyDescent="0.2">
      <c r="A21" s="84"/>
      <c r="C21" s="75" t="s">
        <v>143</v>
      </c>
      <c r="D21" s="160"/>
      <c r="E21" s="160"/>
      <c r="F21" s="160"/>
      <c r="G21" s="160"/>
      <c r="H21" s="160"/>
      <c r="I21" s="160"/>
      <c r="J21" s="160"/>
      <c r="K21" s="160"/>
      <c r="L21" s="160"/>
      <c r="M21" s="75"/>
      <c r="N21" s="88"/>
      <c r="O21" s="89"/>
      <c r="Q21" s="87"/>
      <c r="R21" s="66"/>
      <c r="S21" s="75" t="s">
        <v>143</v>
      </c>
      <c r="T21" s="160"/>
      <c r="U21" s="160"/>
      <c r="V21" s="160"/>
      <c r="W21" s="160"/>
      <c r="X21" s="160"/>
      <c r="Y21" s="160"/>
      <c r="Z21" s="160"/>
      <c r="AA21" s="160"/>
      <c r="AB21" s="160"/>
      <c r="AC21" s="75"/>
      <c r="AD21" s="88"/>
      <c r="AE21" s="91"/>
      <c r="AF21" s="68"/>
    </row>
    <row r="22" spans="1:32" x14ac:dyDescent="0.2">
      <c r="A22" s="84"/>
      <c r="C22" s="75" t="s">
        <v>138</v>
      </c>
      <c r="D22" s="160"/>
      <c r="E22" s="160"/>
      <c r="F22" s="160"/>
      <c r="G22" s="160"/>
      <c r="H22" s="160"/>
      <c r="I22" s="160"/>
      <c r="J22" s="160"/>
      <c r="K22" s="160"/>
      <c r="L22" s="160"/>
      <c r="M22" s="75"/>
      <c r="N22" s="88"/>
      <c r="O22" s="89"/>
      <c r="Q22" s="87"/>
      <c r="R22" s="66"/>
      <c r="S22" s="75" t="s">
        <v>138</v>
      </c>
      <c r="T22" s="160"/>
      <c r="U22" s="160"/>
      <c r="V22" s="160"/>
      <c r="W22" s="160"/>
      <c r="X22" s="160"/>
      <c r="Y22" s="160"/>
      <c r="Z22" s="160"/>
      <c r="AA22" s="160"/>
      <c r="AB22" s="160"/>
      <c r="AC22" s="75"/>
      <c r="AD22" s="88"/>
      <c r="AE22" s="91"/>
      <c r="AF22" s="68"/>
    </row>
    <row r="23" spans="1:32" ht="9.75" customHeight="1" x14ac:dyDescent="0.2">
      <c r="A23" s="84"/>
      <c r="C23" s="92"/>
      <c r="D23" s="160"/>
      <c r="E23" s="160"/>
      <c r="F23" s="160"/>
      <c r="G23" s="160"/>
      <c r="H23" s="160"/>
      <c r="I23" s="160"/>
      <c r="J23" s="160"/>
      <c r="K23" s="160"/>
      <c r="L23" s="160"/>
      <c r="O23" s="89"/>
      <c r="Q23" s="87"/>
      <c r="R23" s="66"/>
      <c r="S23" s="92"/>
      <c r="T23" s="160"/>
      <c r="U23" s="160"/>
      <c r="V23" s="160"/>
      <c r="W23" s="160"/>
      <c r="X23" s="160"/>
      <c r="Y23" s="160"/>
      <c r="Z23" s="160"/>
      <c r="AA23" s="160"/>
      <c r="AB23" s="160"/>
      <c r="AC23" s="63"/>
      <c r="AD23" s="63"/>
      <c r="AE23" s="91"/>
      <c r="AF23" s="68"/>
    </row>
    <row r="24" spans="1:32" x14ac:dyDescent="0.2">
      <c r="A24" s="84"/>
      <c r="C24" s="92" t="s">
        <v>144</v>
      </c>
      <c r="D24" s="75"/>
      <c r="E24" s="75"/>
      <c r="F24" s="75"/>
      <c r="G24" s="75"/>
      <c r="H24" s="75"/>
      <c r="I24" s="75"/>
      <c r="J24" s="75"/>
      <c r="L24" s="75"/>
      <c r="M24" s="75" t="s">
        <v>20</v>
      </c>
      <c r="N24" s="131">
        <v>142.30000000000001</v>
      </c>
      <c r="O24" s="89"/>
      <c r="Q24" s="87"/>
      <c r="R24" s="66"/>
      <c r="S24" s="92" t="s">
        <v>144</v>
      </c>
      <c r="T24" s="75"/>
      <c r="U24" s="75"/>
      <c r="V24" s="75"/>
      <c r="W24" s="75"/>
      <c r="X24" s="75"/>
      <c r="Y24" s="75"/>
      <c r="Z24" s="75"/>
      <c r="AA24" s="63"/>
      <c r="AB24" s="75"/>
      <c r="AC24" s="75" t="s">
        <v>20</v>
      </c>
      <c r="AD24" s="131">
        <v>142.30000000000001</v>
      </c>
      <c r="AE24" s="91"/>
      <c r="AF24" s="68"/>
    </row>
    <row r="25" spans="1:32" x14ac:dyDescent="0.2">
      <c r="A25" s="84"/>
      <c r="C25" s="169" t="s">
        <v>146</v>
      </c>
      <c r="D25" s="75"/>
      <c r="E25" s="75"/>
      <c r="F25" s="75"/>
      <c r="G25" s="75"/>
      <c r="H25" s="75"/>
      <c r="I25" s="75"/>
      <c r="J25" s="75"/>
      <c r="K25" s="75"/>
      <c r="L25" s="75"/>
      <c r="O25" s="89"/>
      <c r="Q25" s="87"/>
      <c r="R25" s="66"/>
      <c r="S25" s="169" t="s">
        <v>146</v>
      </c>
      <c r="T25" s="75"/>
      <c r="U25" s="75"/>
      <c r="V25" s="75"/>
      <c r="W25" s="75"/>
      <c r="X25" s="75"/>
      <c r="Y25" s="75"/>
      <c r="Z25" s="75"/>
      <c r="AA25" s="75"/>
      <c r="AB25" s="75"/>
      <c r="AC25" s="63"/>
      <c r="AD25" s="63"/>
      <c r="AE25" s="91"/>
      <c r="AF25" s="68"/>
    </row>
    <row r="26" spans="1:32" ht="12.75" customHeight="1" x14ac:dyDescent="0.2">
      <c r="A26" s="84"/>
      <c r="C26" s="92" t="s">
        <v>152</v>
      </c>
      <c r="D26" s="75"/>
      <c r="E26" s="75"/>
      <c r="F26" s="75"/>
      <c r="G26" s="75"/>
      <c r="H26" s="75"/>
      <c r="I26" s="75"/>
      <c r="J26" s="75"/>
      <c r="K26" s="75"/>
      <c r="L26" s="75"/>
      <c r="M26" s="75" t="s">
        <v>20</v>
      </c>
      <c r="N26" s="131">
        <v>465.7</v>
      </c>
      <c r="O26" s="89"/>
      <c r="Q26" s="87"/>
      <c r="R26" s="66"/>
      <c r="S26" s="92" t="s">
        <v>152</v>
      </c>
      <c r="T26" s="75"/>
      <c r="U26" s="75"/>
      <c r="V26" s="75"/>
      <c r="W26" s="75"/>
      <c r="X26" s="75"/>
      <c r="Y26" s="75"/>
      <c r="Z26" s="75"/>
      <c r="AA26" s="75"/>
      <c r="AB26" s="75"/>
      <c r="AC26" s="75" t="s">
        <v>20</v>
      </c>
      <c r="AD26" s="131">
        <v>465.7</v>
      </c>
      <c r="AE26" s="91"/>
      <c r="AF26" s="68"/>
    </row>
    <row r="27" spans="1:32" x14ac:dyDescent="0.2">
      <c r="A27" s="84"/>
      <c r="C27" s="169" t="s">
        <v>151</v>
      </c>
      <c r="D27" s="75"/>
      <c r="E27" s="75"/>
      <c r="F27" s="75"/>
      <c r="G27" s="75"/>
      <c r="H27" s="75"/>
      <c r="I27" s="75"/>
      <c r="J27" s="75"/>
      <c r="K27" s="75"/>
      <c r="L27" s="75"/>
      <c r="O27" s="89"/>
      <c r="Q27" s="87"/>
      <c r="R27" s="66"/>
      <c r="S27" s="169" t="s">
        <v>151</v>
      </c>
      <c r="T27" s="75"/>
      <c r="U27" s="75"/>
      <c r="V27" s="75"/>
      <c r="W27" s="75"/>
      <c r="X27" s="75"/>
      <c r="Y27" s="75"/>
      <c r="Z27" s="75"/>
      <c r="AA27" s="75"/>
      <c r="AB27" s="75"/>
      <c r="AC27" s="63"/>
      <c r="AD27" s="63"/>
      <c r="AE27" s="91"/>
      <c r="AF27" s="68"/>
    </row>
    <row r="28" spans="1:32" ht="12.75" customHeight="1" x14ac:dyDescent="0.2">
      <c r="A28" s="84"/>
      <c r="C28" s="169" t="s">
        <v>149</v>
      </c>
      <c r="D28" s="75"/>
      <c r="E28" s="75"/>
      <c r="F28" s="75"/>
      <c r="G28" s="75"/>
      <c r="H28" s="75"/>
      <c r="I28" s="75"/>
      <c r="J28" s="75"/>
      <c r="K28" s="75"/>
      <c r="L28" s="75"/>
      <c r="O28" s="99"/>
      <c r="Q28" s="87"/>
      <c r="R28" s="66"/>
      <c r="S28" s="169" t="s">
        <v>149</v>
      </c>
      <c r="T28" s="75"/>
      <c r="U28" s="75"/>
      <c r="V28" s="75"/>
      <c r="W28" s="75"/>
      <c r="X28" s="75"/>
      <c r="Y28" s="75"/>
      <c r="Z28" s="75"/>
      <c r="AA28" s="75"/>
      <c r="AB28" s="75"/>
      <c r="AC28" s="63"/>
      <c r="AD28" s="63"/>
      <c r="AE28" s="101"/>
      <c r="AF28" s="68"/>
    </row>
    <row r="29" spans="1:32" ht="12.75" customHeight="1" x14ac:dyDescent="0.2">
      <c r="A29" s="84"/>
      <c r="C29" s="169" t="s">
        <v>150</v>
      </c>
      <c r="D29" s="75"/>
      <c r="E29" s="75"/>
      <c r="F29" s="75"/>
      <c r="G29" s="75"/>
      <c r="H29" s="75"/>
      <c r="I29" s="75"/>
      <c r="J29" s="75"/>
      <c r="K29" s="75"/>
      <c r="L29" s="75"/>
      <c r="M29" s="75"/>
      <c r="N29" s="88"/>
      <c r="O29" s="99"/>
      <c r="Q29" s="87"/>
      <c r="R29" s="66"/>
      <c r="S29" s="169" t="s">
        <v>150</v>
      </c>
      <c r="T29" s="75"/>
      <c r="U29" s="75"/>
      <c r="V29" s="75"/>
      <c r="W29" s="75"/>
      <c r="X29" s="75"/>
      <c r="Y29" s="75"/>
      <c r="Z29" s="75"/>
      <c r="AA29" s="75"/>
      <c r="AB29" s="75"/>
      <c r="AC29" s="75"/>
      <c r="AD29" s="88"/>
      <c r="AE29" s="101"/>
      <c r="AF29" s="68"/>
    </row>
    <row r="30" spans="1:32" ht="12.75" customHeight="1" x14ac:dyDescent="0.2">
      <c r="A30" s="84"/>
      <c r="C30" s="169" t="s">
        <v>147</v>
      </c>
      <c r="D30" s="75"/>
      <c r="E30" s="75"/>
      <c r="F30" s="75"/>
      <c r="G30" s="75"/>
      <c r="H30" s="75"/>
      <c r="I30" s="75"/>
      <c r="J30" s="75"/>
      <c r="K30" s="75"/>
      <c r="L30" s="75"/>
      <c r="M30" s="94"/>
      <c r="N30" s="95"/>
      <c r="O30" s="99"/>
      <c r="Q30" s="87"/>
      <c r="R30" s="66"/>
      <c r="S30" s="169" t="s">
        <v>147</v>
      </c>
      <c r="T30" s="75"/>
      <c r="U30" s="75"/>
      <c r="V30" s="75"/>
      <c r="W30" s="75"/>
      <c r="X30" s="75"/>
      <c r="Y30" s="75"/>
      <c r="Z30" s="75"/>
      <c r="AA30" s="75"/>
      <c r="AB30" s="75"/>
      <c r="AC30" s="94"/>
      <c r="AD30" s="95"/>
      <c r="AE30" s="101"/>
      <c r="AF30" s="68"/>
    </row>
    <row r="31" spans="1:32" ht="9.9499999999999993" customHeight="1" x14ac:dyDescent="0.2">
      <c r="A31" s="84"/>
      <c r="D31" s="75"/>
      <c r="E31" s="75"/>
      <c r="F31" s="75"/>
      <c r="G31" s="75"/>
      <c r="H31" s="75"/>
      <c r="I31" s="75"/>
      <c r="J31" s="75"/>
      <c r="K31" s="75"/>
      <c r="L31" s="75"/>
      <c r="M31" s="75"/>
      <c r="N31" s="88"/>
      <c r="O31" s="99"/>
      <c r="Q31" s="87"/>
      <c r="R31" s="66"/>
      <c r="S31" s="63"/>
      <c r="T31" s="75"/>
      <c r="U31" s="75"/>
      <c r="V31" s="75"/>
      <c r="W31" s="75"/>
      <c r="X31" s="75"/>
      <c r="Y31" s="75"/>
      <c r="Z31" s="75"/>
      <c r="AA31" s="75"/>
      <c r="AB31" s="75"/>
      <c r="AC31" s="75"/>
      <c r="AD31" s="88"/>
      <c r="AE31" s="101"/>
      <c r="AF31" s="68"/>
    </row>
    <row r="32" spans="1:32" ht="12.75" customHeight="1" x14ac:dyDescent="0.2">
      <c r="A32" s="84"/>
      <c r="D32" s="75"/>
      <c r="E32" s="75"/>
      <c r="F32" s="75"/>
      <c r="G32" s="75"/>
      <c r="H32" s="75"/>
      <c r="I32" s="75"/>
      <c r="J32" s="75"/>
      <c r="K32" s="75"/>
      <c r="L32" s="75"/>
      <c r="M32" s="75" t="s">
        <v>20</v>
      </c>
      <c r="N32" s="88">
        <f>SUM(N21:N30)</f>
        <v>608</v>
      </c>
      <c r="O32" s="99"/>
      <c r="Q32" s="87"/>
      <c r="R32" s="66"/>
      <c r="S32" s="63"/>
      <c r="T32" s="75"/>
      <c r="U32" s="75"/>
      <c r="V32" s="75"/>
      <c r="W32" s="75"/>
      <c r="X32" s="75"/>
      <c r="Y32" s="75"/>
      <c r="Z32" s="75"/>
      <c r="AA32" s="75"/>
      <c r="AB32" s="75"/>
      <c r="AC32" s="75" t="s">
        <v>20</v>
      </c>
      <c r="AD32" s="88">
        <f>SUM(AD21:AD30)</f>
        <v>608</v>
      </c>
      <c r="AE32" s="101"/>
      <c r="AF32" s="68"/>
    </row>
    <row r="33" spans="1:32" ht="13.5" thickBot="1" x14ac:dyDescent="0.25">
      <c r="A33" s="84"/>
      <c r="E33" s="75"/>
      <c r="G33" s="75"/>
      <c r="H33" s="75"/>
      <c r="I33" s="75"/>
      <c r="J33" s="75"/>
      <c r="K33" s="75"/>
      <c r="L33" s="75"/>
      <c r="M33" s="98"/>
      <c r="N33" s="98"/>
      <c r="O33" s="99"/>
      <c r="Q33" s="87"/>
      <c r="R33" s="66"/>
      <c r="S33" s="75" t="s">
        <v>21</v>
      </c>
      <c r="T33" s="63"/>
      <c r="U33" s="75"/>
      <c r="V33" s="144" t="s">
        <v>148</v>
      </c>
      <c r="W33" s="75"/>
      <c r="X33" s="75"/>
      <c r="Y33" s="75"/>
      <c r="Z33" s="75"/>
      <c r="AA33" s="75"/>
      <c r="AB33" s="75"/>
      <c r="AC33" s="98"/>
      <c r="AD33" s="98"/>
      <c r="AE33" s="101"/>
      <c r="AF33" s="68"/>
    </row>
    <row r="34" spans="1:32" ht="9.75" customHeight="1" thickTop="1" x14ac:dyDescent="0.2">
      <c r="A34" s="84"/>
      <c r="D34" s="75"/>
      <c r="E34" s="75"/>
      <c r="F34" s="75"/>
      <c r="G34" s="75"/>
      <c r="H34" s="75"/>
      <c r="I34" s="75"/>
      <c r="J34" s="75"/>
      <c r="K34" s="75"/>
      <c r="L34" s="75"/>
      <c r="M34" s="75"/>
      <c r="N34" s="75"/>
      <c r="O34" s="99"/>
      <c r="Q34" s="87"/>
      <c r="R34" s="66"/>
      <c r="S34" s="66"/>
      <c r="T34" s="76"/>
      <c r="U34" s="76"/>
      <c r="V34" s="76"/>
      <c r="W34" s="76"/>
      <c r="X34" s="76"/>
      <c r="Y34" s="76"/>
      <c r="Z34" s="76"/>
      <c r="AA34" s="76"/>
      <c r="AB34" s="76"/>
      <c r="AC34" s="76"/>
      <c r="AD34" s="76"/>
      <c r="AE34" s="101"/>
      <c r="AF34" s="68"/>
    </row>
    <row r="35" spans="1:32" ht="12.75" customHeight="1" x14ac:dyDescent="0.2">
      <c r="A35" s="84"/>
      <c r="C35" s="75" t="s">
        <v>21</v>
      </c>
      <c r="F35" s="144" t="s">
        <v>148</v>
      </c>
      <c r="O35" s="84"/>
      <c r="Q35" s="87"/>
      <c r="R35" s="66"/>
      <c r="S35" s="66"/>
      <c r="T35" s="66"/>
      <c r="U35" s="66"/>
      <c r="V35" s="66"/>
      <c r="W35" s="66"/>
      <c r="X35" s="66"/>
      <c r="Y35" s="66"/>
      <c r="Z35" s="66"/>
      <c r="AA35" s="66"/>
      <c r="AB35" s="66"/>
      <c r="AC35" s="66"/>
      <c r="AD35" s="66"/>
      <c r="AE35" s="87"/>
      <c r="AF35" s="68"/>
    </row>
    <row r="36" spans="1:32" ht="9.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45" customHeight="1" x14ac:dyDescent="0.25">
      <c r="K53" s="110"/>
      <c r="L53" s="110"/>
      <c r="Q53" s="111" t="s">
        <v>27</v>
      </c>
      <c r="S53" s="112"/>
      <c r="T53" s="66"/>
      <c r="U53" s="66"/>
      <c r="V53" s="66"/>
      <c r="W53" s="66"/>
      <c r="X53" s="66"/>
      <c r="Y53" s="66"/>
      <c r="Z53" s="66"/>
      <c r="AA53" s="66"/>
      <c r="AB53" s="66"/>
      <c r="AC53" s="66"/>
      <c r="AD53" s="66"/>
      <c r="AE53" s="66"/>
      <c r="AF53" s="113" t="s">
        <v>28</v>
      </c>
    </row>
    <row r="54" spans="1:32" ht="11.45" customHeight="1" x14ac:dyDescent="0.25">
      <c r="K54" s="110"/>
      <c r="L54" s="110"/>
      <c r="Q54" s="112"/>
      <c r="R54" s="66"/>
      <c r="S54" s="112"/>
      <c r="T54" s="66"/>
      <c r="U54" s="103"/>
      <c r="V54" s="103"/>
      <c r="W54" s="103"/>
      <c r="X54" s="103"/>
      <c r="Y54" s="103"/>
      <c r="Z54" s="103"/>
      <c r="AA54" s="66"/>
      <c r="AB54" s="114"/>
      <c r="AC54" s="103"/>
      <c r="AD54" s="103"/>
      <c r="AE54" s="103"/>
      <c r="AF54" s="115"/>
    </row>
    <row r="55" spans="1:32" ht="11.45" customHeight="1" x14ac:dyDescent="0.25">
      <c r="K55" s="110"/>
      <c r="L55" s="110"/>
      <c r="Q55" s="112"/>
      <c r="R55" s="66"/>
      <c r="S55" s="112"/>
      <c r="T55" s="66"/>
      <c r="U55" s="103"/>
      <c r="V55" s="103"/>
      <c r="W55" s="103"/>
      <c r="X55" s="103"/>
      <c r="Y55" s="116"/>
      <c r="Z55" s="117"/>
      <c r="AA55" s="66"/>
      <c r="AB55" s="111"/>
      <c r="AC55" s="66"/>
      <c r="AD55" s="117"/>
      <c r="AE55" s="103"/>
      <c r="AF55" s="118"/>
    </row>
    <row r="56" spans="1:32" ht="11.45" customHeight="1" x14ac:dyDescent="0.25">
      <c r="A56" s="110"/>
      <c r="B56" s="110"/>
      <c r="D56" s="110"/>
      <c r="K56" s="110"/>
      <c r="L56" s="110"/>
      <c r="Q56" s="119"/>
      <c r="R56" s="66"/>
      <c r="S56" s="120" t="s">
        <v>29</v>
      </c>
      <c r="T56" s="108"/>
      <c r="U56" s="103"/>
      <c r="V56" s="103"/>
      <c r="W56" s="103"/>
      <c r="X56" s="103"/>
      <c r="Y56" s="116"/>
      <c r="Z56" s="117"/>
      <c r="AA56" s="66"/>
      <c r="AB56" s="111"/>
      <c r="AC56" s="66"/>
      <c r="AD56" s="117"/>
      <c r="AE56" s="66"/>
      <c r="AF56" s="118"/>
    </row>
    <row r="57" spans="1:32" ht="11.45" customHeight="1" x14ac:dyDescent="0.25">
      <c r="A57" s="110"/>
      <c r="B57" s="110"/>
      <c r="D57" s="110"/>
      <c r="K57" s="110"/>
      <c r="L57" s="110"/>
      <c r="R57" s="121"/>
      <c r="S57" s="66"/>
      <c r="T57" s="66"/>
      <c r="U57" s="103"/>
      <c r="V57" s="114"/>
      <c r="W57" s="103"/>
      <c r="X57" s="103"/>
      <c r="Y57" s="116"/>
      <c r="Z57" s="117"/>
      <c r="AA57" s="66"/>
      <c r="AB57" s="111"/>
      <c r="AC57" s="66"/>
      <c r="AD57" s="117"/>
      <c r="AE57" s="66"/>
      <c r="AF57" s="118"/>
    </row>
    <row r="58" spans="1:32" ht="11.4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4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4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4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4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printOptions horizontalCentered="1"/>
  <pageMargins left="0.7" right="0.7" top="0.75" bottom="0.75" header="0.3" footer="0.3"/>
  <pageSetup paperSize="9" fitToWidth="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CCDB6-6DD2-432B-9B09-E68F009748BC}">
  <sheetPr codeName="Sheet31">
    <tabColor rgb="FFFFFF00"/>
    <pageSetUpPr fitToPage="1"/>
  </sheetPr>
  <dimension ref="A1:AF63"/>
  <sheetViews>
    <sheetView zoomScaleNormal="100" workbookViewId="0">
      <selection activeCell="C23" sqref="C23"/>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8.28515625"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2.7109375"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8.28515625"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2.7109375" style="65" customWidth="1"/>
    <col min="30" max="30" width="10.7109375" style="65" customWidth="1"/>
    <col min="31" max="31" width="1.7109375" style="65" customWidth="1"/>
    <col min="32" max="32" width="5.7109375" style="65" customWidth="1"/>
    <col min="33" max="256" width="9.14062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9.14062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9.14062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9.14062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9.14062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9.14062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9.14062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9.14062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9.14062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9.14062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9.14062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9.14062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9.14062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9.14062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9.14062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9.14062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9.14062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9.14062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9.14062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9.14062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9.14062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9.14062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9.14062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9.14062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9.14062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9.14062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9.14062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9.14062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9.14062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9.14062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9.14062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9.14062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9.14062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9.14062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9.14062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9.14062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9.14062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9.14062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9.14062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9.14062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9.14062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9.14062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9.14062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9.14062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9.14062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9.14062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9.14062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9.14062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9.14062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9.14062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9.14062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9.14062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9.14062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9.14062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9.14062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9.14062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9.14062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9.14062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9.14062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9.14062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9.14062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9.14062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9.14062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9.14062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100</v>
      </c>
      <c r="L7" s="72" t="s">
        <v>17</v>
      </c>
      <c r="Q7" s="66"/>
      <c r="R7" s="66"/>
      <c r="S7" s="73" t="str">
        <f>C7</f>
        <v>Jesselton Shipping (2012) Pte Ltd</v>
      </c>
      <c r="T7" s="66"/>
      <c r="U7" s="66"/>
      <c r="V7" s="66"/>
      <c r="W7" s="66"/>
      <c r="X7" s="66"/>
      <c r="Y7" s="66"/>
      <c r="Z7" s="66"/>
      <c r="AA7" s="66"/>
      <c r="AB7" s="74" t="s">
        <v>17</v>
      </c>
      <c r="AC7" s="66"/>
      <c r="AD7" s="66"/>
      <c r="AE7" s="66"/>
      <c r="AF7" s="68"/>
    </row>
    <row r="8" spans="1:32" x14ac:dyDescent="0.2">
      <c r="C8" s="75" t="s">
        <v>101</v>
      </c>
      <c r="Q8" s="66"/>
      <c r="R8" s="66"/>
      <c r="S8" s="76" t="str">
        <f>C8</f>
        <v xml:space="preserve">2 Boon Leat Terrace </v>
      </c>
      <c r="T8" s="66"/>
      <c r="U8" s="66"/>
      <c r="V8" s="66"/>
      <c r="W8" s="66"/>
      <c r="X8" s="66"/>
      <c r="Y8" s="66"/>
      <c r="Z8" s="66"/>
      <c r="AA8" s="66"/>
      <c r="AB8" s="66"/>
      <c r="AC8" s="66"/>
      <c r="AD8" s="66"/>
      <c r="AE8" s="66"/>
      <c r="AF8" s="68"/>
    </row>
    <row r="9" spans="1:32" x14ac:dyDescent="0.2">
      <c r="C9" s="75" t="s">
        <v>102</v>
      </c>
      <c r="L9" s="75" t="s">
        <v>18</v>
      </c>
      <c r="M9" s="137" t="s">
        <v>153</v>
      </c>
      <c r="Q9" s="66"/>
      <c r="R9" s="66"/>
      <c r="S9" s="76" t="str">
        <f>C9</f>
        <v>#08-01 Harbourside Building 2</v>
      </c>
      <c r="T9" s="66"/>
      <c r="U9" s="66"/>
      <c r="V9" s="66"/>
      <c r="W9" s="66"/>
      <c r="X9" s="66"/>
      <c r="Y9" s="66"/>
      <c r="Z9" s="66"/>
      <c r="AA9" s="66"/>
      <c r="AB9" s="76" t="s">
        <v>18</v>
      </c>
      <c r="AC9" s="76" t="str">
        <f>M9</f>
        <v>DN202504-14</v>
      </c>
      <c r="AD9" s="66"/>
      <c r="AE9" s="66"/>
      <c r="AF9" s="68"/>
    </row>
    <row r="10" spans="1:32" x14ac:dyDescent="0.2">
      <c r="C10" s="75" t="s">
        <v>104</v>
      </c>
      <c r="Q10" s="66"/>
      <c r="R10" s="66"/>
      <c r="S10" s="76" t="str">
        <f>C10</f>
        <v>Singapore 119844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10</v>
      </c>
      <c r="N12" s="145">
        <v>45748</v>
      </c>
      <c r="Q12" s="66"/>
      <c r="R12" s="66"/>
      <c r="S12" s="76"/>
      <c r="T12" s="66"/>
      <c r="U12" s="66"/>
      <c r="V12" s="66"/>
      <c r="W12" s="66"/>
      <c r="X12" s="66"/>
      <c r="Y12" s="66"/>
      <c r="Z12" s="66"/>
      <c r="AA12" s="66"/>
      <c r="AB12" s="140" t="s">
        <v>19</v>
      </c>
      <c r="AC12" s="77">
        <f>M12</f>
        <v>10</v>
      </c>
      <c r="AD12" s="159">
        <f>N12</f>
        <v>45748</v>
      </c>
      <c r="AE12" s="66"/>
      <c r="AF12" s="68"/>
    </row>
    <row r="13" spans="1:32" ht="12.6" customHeight="1" x14ac:dyDescent="0.2">
      <c r="Q13" s="66"/>
      <c r="R13" s="66"/>
      <c r="S13" s="66"/>
      <c r="T13" s="66"/>
      <c r="U13" s="66"/>
      <c r="V13" s="66"/>
      <c r="W13" s="66"/>
      <c r="X13" s="66"/>
      <c r="Y13" s="66"/>
      <c r="Z13" s="66"/>
      <c r="AA13" s="66"/>
      <c r="AB13" s="66"/>
      <c r="AC13" s="66"/>
      <c r="AD13" s="66"/>
      <c r="AE13" s="66"/>
      <c r="AF13" s="68"/>
    </row>
    <row r="14" spans="1:32" ht="12.6"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ht="9.75" customHeight="1" x14ac:dyDescent="0.2">
      <c r="A15" s="82"/>
      <c r="M15" s="83"/>
      <c r="N15" s="83"/>
      <c r="O15" s="84"/>
      <c r="Q15" s="85"/>
      <c r="R15" s="66"/>
      <c r="S15" s="66"/>
      <c r="T15" s="66"/>
      <c r="U15" s="66"/>
      <c r="V15" s="66"/>
      <c r="W15" s="66"/>
      <c r="X15" s="66"/>
      <c r="Y15" s="66"/>
      <c r="Z15" s="66"/>
      <c r="AA15" s="66"/>
      <c r="AB15" s="66"/>
      <c r="AC15" s="86"/>
      <c r="AD15" s="86"/>
      <c r="AE15" s="87"/>
      <c r="AF15" s="68"/>
    </row>
    <row r="16" spans="1:32" ht="12.75" customHeight="1" x14ac:dyDescent="0.2">
      <c r="A16" s="84"/>
      <c r="C16" s="63" t="s">
        <v>137</v>
      </c>
      <c r="O16" s="84"/>
      <c r="Q16" s="87"/>
      <c r="R16" s="66"/>
      <c r="S16" s="63" t="s">
        <v>137</v>
      </c>
      <c r="T16" s="63"/>
      <c r="U16" s="63"/>
      <c r="V16" s="63"/>
      <c r="W16" s="63"/>
      <c r="X16" s="63"/>
      <c r="Y16" s="63"/>
      <c r="Z16" s="63"/>
      <c r="AA16" s="63"/>
      <c r="AB16" s="63"/>
      <c r="AC16" s="63"/>
      <c r="AD16" s="63"/>
      <c r="AE16" s="87"/>
      <c r="AF16" s="68"/>
    </row>
    <row r="17" spans="1:32" ht="12.75" customHeight="1" x14ac:dyDescent="0.2">
      <c r="A17" s="84"/>
      <c r="O17" s="84"/>
      <c r="Q17" s="87"/>
      <c r="R17" s="66"/>
      <c r="S17" s="63"/>
      <c r="T17" s="63"/>
      <c r="U17" s="63"/>
      <c r="V17" s="63"/>
      <c r="W17" s="63"/>
      <c r="X17" s="63"/>
      <c r="Y17" s="63"/>
      <c r="Z17" s="63"/>
      <c r="AA17" s="63"/>
      <c r="AB17" s="63"/>
      <c r="AC17" s="63"/>
      <c r="AD17" s="63"/>
      <c r="AE17" s="87"/>
      <c r="AF17" s="68"/>
    </row>
    <row r="18" spans="1:32" ht="12.75" customHeight="1" x14ac:dyDescent="0.2">
      <c r="A18" s="84"/>
      <c r="C18" s="63" t="s">
        <v>157</v>
      </c>
      <c r="D18" s="160"/>
      <c r="E18" s="160"/>
      <c r="F18" s="160"/>
      <c r="G18" s="160"/>
      <c r="H18" s="160"/>
      <c r="I18" s="160"/>
      <c r="J18" s="160"/>
      <c r="K18" s="160"/>
      <c r="L18" s="160"/>
      <c r="M18" s="75" t="s">
        <v>20</v>
      </c>
      <c r="N18" s="131">
        <v>2300</v>
      </c>
      <c r="O18" s="89"/>
      <c r="Q18" s="87"/>
      <c r="R18" s="66"/>
      <c r="S18" s="63" t="s">
        <v>157</v>
      </c>
      <c r="T18" s="160"/>
      <c r="U18" s="160"/>
      <c r="V18" s="160"/>
      <c r="W18" s="160"/>
      <c r="X18" s="160"/>
      <c r="Y18" s="160"/>
      <c r="Z18" s="160"/>
      <c r="AA18" s="160"/>
      <c r="AB18" s="160"/>
      <c r="AC18" s="75" t="s">
        <v>20</v>
      </c>
      <c r="AD18" s="131">
        <v>2300</v>
      </c>
      <c r="AE18" s="91"/>
      <c r="AF18" s="68"/>
    </row>
    <row r="19" spans="1:32" x14ac:dyDescent="0.2">
      <c r="A19" s="84"/>
      <c r="C19" s="63" t="s">
        <v>158</v>
      </c>
      <c r="D19" s="160"/>
      <c r="E19" s="160"/>
      <c r="F19" s="160"/>
      <c r="G19" s="160"/>
      <c r="H19" s="160"/>
      <c r="I19" s="160"/>
      <c r="J19" s="160"/>
      <c r="K19" s="160"/>
      <c r="L19" s="160"/>
      <c r="M19" s="75"/>
      <c r="N19" s="88"/>
      <c r="O19" s="89"/>
      <c r="Q19" s="87"/>
      <c r="R19" s="66"/>
      <c r="S19" s="63" t="s">
        <v>158</v>
      </c>
      <c r="T19" s="160"/>
      <c r="U19" s="160"/>
      <c r="V19" s="160"/>
      <c r="W19" s="160"/>
      <c r="X19" s="160"/>
      <c r="Y19" s="160"/>
      <c r="Z19" s="160"/>
      <c r="AA19" s="160"/>
      <c r="AB19" s="160"/>
      <c r="AC19" s="75"/>
      <c r="AD19" s="88"/>
      <c r="AE19" s="91"/>
      <c r="AF19" s="68"/>
    </row>
    <row r="20" spans="1:32" x14ac:dyDescent="0.2">
      <c r="A20" s="84"/>
      <c r="C20" s="63" t="s">
        <v>159</v>
      </c>
      <c r="D20" s="160"/>
      <c r="E20" s="160"/>
      <c r="F20" s="160"/>
      <c r="G20" s="160"/>
      <c r="H20" s="160"/>
      <c r="I20" s="160"/>
      <c r="J20" s="160"/>
      <c r="K20" s="160"/>
      <c r="L20" s="160"/>
      <c r="O20" s="89"/>
      <c r="Q20" s="87"/>
      <c r="R20" s="66"/>
      <c r="S20" s="63" t="s">
        <v>159</v>
      </c>
      <c r="T20" s="160"/>
      <c r="U20" s="160"/>
      <c r="V20" s="160"/>
      <c r="W20" s="160"/>
      <c r="X20" s="160"/>
      <c r="Y20" s="160"/>
      <c r="Z20" s="160"/>
      <c r="AA20" s="160"/>
      <c r="AB20" s="160"/>
      <c r="AC20" s="63"/>
      <c r="AD20" s="63"/>
      <c r="AE20" s="91"/>
      <c r="AF20" s="68"/>
    </row>
    <row r="21" spans="1:32" x14ac:dyDescent="0.2">
      <c r="A21" s="84"/>
      <c r="C21" s="63" t="s">
        <v>154</v>
      </c>
      <c r="D21" s="160"/>
      <c r="E21" s="160"/>
      <c r="F21" s="160"/>
      <c r="G21" s="160"/>
      <c r="H21" s="160"/>
      <c r="I21" s="160"/>
      <c r="J21" s="160"/>
      <c r="K21" s="160"/>
      <c r="L21" s="160"/>
      <c r="M21" s="75"/>
      <c r="N21" s="88"/>
      <c r="O21" s="89"/>
      <c r="Q21" s="87"/>
      <c r="R21" s="66"/>
      <c r="S21" s="63" t="s">
        <v>154</v>
      </c>
      <c r="T21" s="160"/>
      <c r="U21" s="160"/>
      <c r="V21" s="160"/>
      <c r="W21" s="160"/>
      <c r="X21" s="160"/>
      <c r="Y21" s="160"/>
      <c r="Z21" s="160"/>
      <c r="AA21" s="160"/>
      <c r="AB21" s="160"/>
      <c r="AC21" s="75"/>
      <c r="AD21" s="88"/>
      <c r="AE21" s="91"/>
      <c r="AF21" s="68"/>
    </row>
    <row r="22" spans="1:32" x14ac:dyDescent="0.2">
      <c r="A22" s="84"/>
      <c r="C22" s="75" t="s">
        <v>156</v>
      </c>
      <c r="D22" s="160"/>
      <c r="E22" s="160"/>
      <c r="F22" s="160"/>
      <c r="G22" s="160"/>
      <c r="H22" s="160"/>
      <c r="I22" s="160"/>
      <c r="J22" s="160"/>
      <c r="K22" s="160"/>
      <c r="L22" s="160"/>
      <c r="M22" s="75"/>
      <c r="N22" s="88"/>
      <c r="O22" s="89"/>
      <c r="Q22" s="87"/>
      <c r="R22" s="66"/>
      <c r="S22" s="75" t="s">
        <v>156</v>
      </c>
      <c r="T22" s="160"/>
      <c r="U22" s="160"/>
      <c r="V22" s="160"/>
      <c r="W22" s="160"/>
      <c r="X22" s="160"/>
      <c r="Y22" s="160"/>
      <c r="Z22" s="160"/>
      <c r="AA22" s="160"/>
      <c r="AB22" s="160"/>
      <c r="AC22" s="75"/>
      <c r="AD22" s="88"/>
      <c r="AE22" s="91"/>
      <c r="AF22" s="68"/>
    </row>
    <row r="23" spans="1:32" ht="12.75" customHeight="1" x14ac:dyDescent="0.2">
      <c r="A23" s="84"/>
      <c r="C23" s="75" t="s">
        <v>155</v>
      </c>
      <c r="D23" s="160"/>
      <c r="E23" s="160"/>
      <c r="F23" s="160"/>
      <c r="G23" s="160"/>
      <c r="H23" s="160"/>
      <c r="I23" s="160"/>
      <c r="J23" s="160"/>
      <c r="K23" s="160"/>
      <c r="L23" s="160"/>
      <c r="O23" s="89"/>
      <c r="Q23" s="87"/>
      <c r="R23" s="66"/>
      <c r="S23" s="75" t="s">
        <v>155</v>
      </c>
      <c r="T23" s="160"/>
      <c r="U23" s="160"/>
      <c r="V23" s="160"/>
      <c r="W23" s="160"/>
      <c r="X23" s="160"/>
      <c r="Y23" s="160"/>
      <c r="Z23" s="160"/>
      <c r="AA23" s="160"/>
      <c r="AB23" s="160"/>
      <c r="AC23" s="63"/>
      <c r="AD23" s="63"/>
      <c r="AE23" s="91"/>
      <c r="AF23" s="68"/>
    </row>
    <row r="24" spans="1:32" ht="9.75" customHeight="1" x14ac:dyDescent="0.2">
      <c r="A24" s="84"/>
      <c r="C24" s="92"/>
      <c r="D24" s="75"/>
      <c r="E24" s="75"/>
      <c r="F24" s="75"/>
      <c r="G24" s="75"/>
      <c r="H24" s="75"/>
      <c r="I24" s="75"/>
      <c r="J24" s="75"/>
      <c r="L24" s="75"/>
      <c r="M24" s="75"/>
      <c r="N24" s="88"/>
      <c r="O24" s="89"/>
      <c r="Q24" s="87"/>
      <c r="R24" s="66"/>
      <c r="S24" s="92"/>
      <c r="T24" s="75"/>
      <c r="U24" s="75"/>
      <c r="V24" s="75"/>
      <c r="W24" s="75"/>
      <c r="X24" s="75"/>
      <c r="Y24" s="75"/>
      <c r="Z24" s="75"/>
      <c r="AA24" s="63"/>
      <c r="AB24" s="75"/>
      <c r="AC24" s="75"/>
      <c r="AD24" s="88"/>
      <c r="AE24" s="91"/>
      <c r="AF24" s="68"/>
    </row>
    <row r="25" spans="1:32" x14ac:dyDescent="0.2">
      <c r="A25" s="84"/>
      <c r="C25" s="169"/>
      <c r="D25" s="75"/>
      <c r="E25" s="75"/>
      <c r="F25" s="75"/>
      <c r="G25" s="75"/>
      <c r="H25" s="75"/>
      <c r="I25" s="75"/>
      <c r="J25" s="75"/>
      <c r="K25" s="75"/>
      <c r="L25" s="75"/>
      <c r="M25" s="75"/>
      <c r="N25" s="88"/>
      <c r="O25" s="89"/>
      <c r="Q25" s="87"/>
      <c r="R25" s="66"/>
      <c r="S25" s="169"/>
      <c r="T25" s="75"/>
      <c r="U25" s="75"/>
      <c r="V25" s="75"/>
      <c r="W25" s="75"/>
      <c r="X25" s="75"/>
      <c r="Y25" s="75"/>
      <c r="Z25" s="75"/>
      <c r="AA25" s="75"/>
      <c r="AB25" s="75"/>
      <c r="AC25" s="75"/>
      <c r="AD25" s="88"/>
      <c r="AE25" s="91"/>
      <c r="AF25" s="68"/>
    </row>
    <row r="26" spans="1:32" ht="12.75" customHeight="1" x14ac:dyDescent="0.2">
      <c r="A26" s="84"/>
      <c r="C26" s="92"/>
      <c r="D26" s="75"/>
      <c r="E26" s="75"/>
      <c r="F26" s="75"/>
      <c r="G26" s="75"/>
      <c r="H26" s="75"/>
      <c r="I26" s="75"/>
      <c r="J26" s="75"/>
      <c r="K26" s="75"/>
      <c r="L26" s="75"/>
      <c r="M26" s="170"/>
      <c r="N26" s="171"/>
      <c r="O26" s="89"/>
      <c r="Q26" s="87"/>
      <c r="R26" s="66"/>
      <c r="S26" s="92"/>
      <c r="T26" s="75"/>
      <c r="U26" s="75"/>
      <c r="V26" s="75"/>
      <c r="W26" s="75"/>
      <c r="X26" s="75"/>
      <c r="Y26" s="75"/>
      <c r="Z26" s="75"/>
      <c r="AA26" s="75"/>
      <c r="AB26" s="75"/>
      <c r="AC26" s="170"/>
      <c r="AD26" s="171"/>
      <c r="AE26" s="91"/>
      <c r="AF26" s="68"/>
    </row>
    <row r="27" spans="1:32" x14ac:dyDescent="0.2">
      <c r="A27" s="84"/>
      <c r="C27" s="169"/>
      <c r="D27" s="75"/>
      <c r="E27" s="75"/>
      <c r="F27" s="75"/>
      <c r="G27" s="75"/>
      <c r="H27" s="75"/>
      <c r="I27" s="75"/>
      <c r="J27" s="75"/>
      <c r="K27" s="75"/>
      <c r="L27" s="75"/>
      <c r="M27" s="75" t="s">
        <v>20</v>
      </c>
      <c r="N27" s="88">
        <f>SUM(N18:N25)</f>
        <v>2300</v>
      </c>
      <c r="O27" s="89"/>
      <c r="Q27" s="87"/>
      <c r="R27" s="66"/>
      <c r="S27" s="169"/>
      <c r="T27" s="75"/>
      <c r="U27" s="75"/>
      <c r="V27" s="75"/>
      <c r="W27" s="75"/>
      <c r="X27" s="75"/>
      <c r="Y27" s="75"/>
      <c r="Z27" s="75"/>
      <c r="AA27" s="75"/>
      <c r="AB27" s="75"/>
      <c r="AC27" s="75" t="s">
        <v>20</v>
      </c>
      <c r="AD27" s="88">
        <f>SUM(AD18:AD25)</f>
        <v>2300</v>
      </c>
      <c r="AE27" s="91"/>
      <c r="AF27" s="68"/>
    </row>
    <row r="28" spans="1:32" ht="12.75" customHeight="1" thickBot="1" x14ac:dyDescent="0.25">
      <c r="A28" s="84"/>
      <c r="C28" s="169"/>
      <c r="D28" s="75"/>
      <c r="E28" s="75"/>
      <c r="F28" s="75"/>
      <c r="G28" s="75"/>
      <c r="H28" s="75"/>
      <c r="I28" s="75"/>
      <c r="J28" s="75"/>
      <c r="K28" s="75"/>
      <c r="L28" s="75"/>
      <c r="M28" s="98"/>
      <c r="N28" s="98"/>
      <c r="O28" s="99"/>
      <c r="Q28" s="87"/>
      <c r="R28" s="66"/>
      <c r="S28" s="169"/>
      <c r="T28" s="75"/>
      <c r="U28" s="75"/>
      <c r="V28" s="75"/>
      <c r="W28" s="75"/>
      <c r="X28" s="75"/>
      <c r="Y28" s="75"/>
      <c r="Z28" s="75"/>
      <c r="AA28" s="75"/>
      <c r="AB28" s="75"/>
      <c r="AC28" s="98"/>
      <c r="AD28" s="98"/>
      <c r="AE28" s="101"/>
      <c r="AF28" s="68"/>
    </row>
    <row r="29" spans="1:32" ht="12.75" customHeight="1" thickTop="1" x14ac:dyDescent="0.2">
      <c r="A29" s="84"/>
      <c r="C29" s="169"/>
      <c r="D29" s="75"/>
      <c r="E29" s="75"/>
      <c r="F29" s="75"/>
      <c r="G29" s="75"/>
      <c r="H29" s="75"/>
      <c r="I29" s="75"/>
      <c r="J29" s="75"/>
      <c r="K29" s="75"/>
      <c r="L29" s="75"/>
      <c r="M29" s="75"/>
      <c r="N29" s="75"/>
      <c r="O29" s="99"/>
      <c r="Q29" s="87"/>
      <c r="R29" s="66"/>
      <c r="S29" s="169"/>
      <c r="T29" s="75"/>
      <c r="U29" s="75"/>
      <c r="V29" s="75"/>
      <c r="W29" s="75"/>
      <c r="X29" s="75"/>
      <c r="Y29" s="75"/>
      <c r="Z29" s="75"/>
      <c r="AA29" s="75"/>
      <c r="AB29" s="75"/>
      <c r="AC29" s="75"/>
      <c r="AD29" s="75"/>
      <c r="AE29" s="101"/>
      <c r="AF29" s="68"/>
    </row>
    <row r="30" spans="1:32" ht="12.75" customHeight="1" x14ac:dyDescent="0.2">
      <c r="A30" s="84"/>
      <c r="C30" s="169"/>
      <c r="D30" s="75"/>
      <c r="E30" s="75"/>
      <c r="F30" s="75"/>
      <c r="G30" s="75"/>
      <c r="H30" s="75"/>
      <c r="I30" s="75"/>
      <c r="J30" s="75"/>
      <c r="K30" s="75"/>
      <c r="L30" s="75"/>
      <c r="M30" s="75"/>
      <c r="N30" s="88"/>
      <c r="O30" s="99"/>
      <c r="Q30" s="87"/>
      <c r="R30" s="66"/>
      <c r="S30" s="169"/>
      <c r="T30" s="75"/>
      <c r="U30" s="75"/>
      <c r="V30" s="75"/>
      <c r="W30" s="75"/>
      <c r="X30" s="75"/>
      <c r="Y30" s="75"/>
      <c r="Z30" s="75"/>
      <c r="AA30" s="75"/>
      <c r="AB30" s="75"/>
      <c r="AC30" s="75"/>
      <c r="AD30" s="88"/>
      <c r="AE30" s="101"/>
      <c r="AF30" s="68"/>
    </row>
    <row r="31" spans="1:32" ht="9.9499999999999993" customHeight="1" x14ac:dyDescent="0.2">
      <c r="A31" s="84"/>
      <c r="D31" s="75"/>
      <c r="E31" s="75"/>
      <c r="F31" s="75"/>
      <c r="G31" s="75"/>
      <c r="H31" s="75"/>
      <c r="I31" s="75"/>
      <c r="J31" s="75"/>
      <c r="K31" s="75"/>
      <c r="L31" s="75"/>
      <c r="O31" s="99"/>
      <c r="Q31" s="87"/>
      <c r="R31" s="66"/>
      <c r="S31" s="63"/>
      <c r="T31" s="75"/>
      <c r="U31" s="75"/>
      <c r="V31" s="75"/>
      <c r="W31" s="75"/>
      <c r="X31" s="75"/>
      <c r="Y31" s="75"/>
      <c r="Z31" s="75"/>
      <c r="AA31" s="75"/>
      <c r="AB31" s="75"/>
      <c r="AC31" s="63"/>
      <c r="AD31" s="63"/>
      <c r="AE31" s="101"/>
      <c r="AF31" s="68"/>
    </row>
    <row r="32" spans="1:32" ht="12.75" customHeight="1" x14ac:dyDescent="0.2">
      <c r="A32" s="84"/>
      <c r="D32" s="75"/>
      <c r="E32" s="75"/>
      <c r="F32" s="75"/>
      <c r="G32" s="75"/>
      <c r="H32" s="75"/>
      <c r="I32" s="75"/>
      <c r="J32" s="75"/>
      <c r="K32" s="75"/>
      <c r="L32" s="75"/>
      <c r="O32" s="99"/>
      <c r="Q32" s="87"/>
      <c r="R32" s="66"/>
      <c r="S32" s="63"/>
      <c r="T32" s="75"/>
      <c r="U32" s="75"/>
      <c r="V32" s="75"/>
      <c r="W32" s="75"/>
      <c r="X32" s="75"/>
      <c r="Y32" s="75"/>
      <c r="Z32" s="75"/>
      <c r="AA32" s="75"/>
      <c r="AB32" s="75"/>
      <c r="AC32" s="63"/>
      <c r="AD32" s="63"/>
      <c r="AE32" s="101"/>
      <c r="AF32" s="68"/>
    </row>
    <row r="33" spans="1:32" x14ac:dyDescent="0.2">
      <c r="A33" s="84"/>
      <c r="C33" s="75" t="s">
        <v>21</v>
      </c>
      <c r="E33" s="75"/>
      <c r="F33" s="144" t="s">
        <v>160</v>
      </c>
      <c r="G33" s="75"/>
      <c r="H33" s="75"/>
      <c r="I33" s="75"/>
      <c r="J33" s="75"/>
      <c r="K33" s="75"/>
      <c r="L33" s="75"/>
      <c r="O33" s="99"/>
      <c r="Q33" s="87"/>
      <c r="R33" s="66"/>
      <c r="S33" s="75" t="s">
        <v>21</v>
      </c>
      <c r="T33" s="63"/>
      <c r="U33" s="75"/>
      <c r="V33" s="144" t="s">
        <v>160</v>
      </c>
      <c r="W33" s="75"/>
      <c r="X33" s="75"/>
      <c r="Y33" s="75"/>
      <c r="Z33" s="75"/>
      <c r="AA33" s="75"/>
      <c r="AB33" s="75"/>
      <c r="AC33" s="63"/>
      <c r="AD33" s="63"/>
      <c r="AE33" s="101"/>
      <c r="AF33" s="68"/>
    </row>
    <row r="34" spans="1:32" ht="9.75" customHeight="1" x14ac:dyDescent="0.2">
      <c r="A34" s="84"/>
      <c r="D34" s="75"/>
      <c r="E34" s="75"/>
      <c r="F34" s="75"/>
      <c r="G34" s="75"/>
      <c r="H34" s="75"/>
      <c r="I34" s="75"/>
      <c r="J34" s="75"/>
      <c r="K34" s="75"/>
      <c r="L34" s="75"/>
      <c r="O34" s="99"/>
      <c r="Q34" s="87"/>
      <c r="R34" s="66"/>
      <c r="S34" s="66"/>
      <c r="T34" s="76"/>
      <c r="U34" s="76"/>
      <c r="V34" s="76"/>
      <c r="W34" s="76"/>
      <c r="X34" s="76"/>
      <c r="Y34" s="76"/>
      <c r="Z34" s="76"/>
      <c r="AA34" s="76"/>
      <c r="AB34" s="76"/>
      <c r="AC34" s="76"/>
      <c r="AD34" s="76"/>
      <c r="AE34" s="101"/>
      <c r="AF34" s="68"/>
    </row>
    <row r="35" spans="1:32" ht="9.75" customHeight="1" x14ac:dyDescent="0.2">
      <c r="A35" s="84"/>
      <c r="O35" s="84"/>
      <c r="Q35" s="87"/>
      <c r="R35" s="66"/>
      <c r="S35" s="66"/>
      <c r="T35" s="66"/>
      <c r="U35" s="66"/>
      <c r="V35" s="66"/>
      <c r="W35" s="66"/>
      <c r="X35" s="66"/>
      <c r="Y35" s="66"/>
      <c r="Z35" s="66"/>
      <c r="AA35" s="66"/>
      <c r="AB35" s="66"/>
      <c r="AC35" s="66"/>
      <c r="AD35" s="66"/>
      <c r="AE35" s="87"/>
      <c r="AF35" s="68"/>
    </row>
    <row r="36" spans="1:32" ht="12.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45" customHeight="1" x14ac:dyDescent="0.25">
      <c r="K53" s="110"/>
      <c r="L53" s="110"/>
      <c r="Q53" s="111" t="s">
        <v>27</v>
      </c>
      <c r="S53" s="112"/>
      <c r="T53" s="66"/>
      <c r="U53" s="66"/>
      <c r="V53" s="66"/>
      <c r="W53" s="66"/>
      <c r="X53" s="66"/>
      <c r="Y53" s="66"/>
      <c r="Z53" s="66"/>
      <c r="AA53" s="66"/>
      <c r="AB53" s="66"/>
      <c r="AC53" s="66"/>
      <c r="AD53" s="66"/>
      <c r="AE53" s="66"/>
      <c r="AF53" s="113" t="s">
        <v>28</v>
      </c>
    </row>
    <row r="54" spans="1:32" ht="11.45" customHeight="1" x14ac:dyDescent="0.25">
      <c r="K54" s="110"/>
      <c r="L54" s="110"/>
      <c r="Q54" s="112"/>
      <c r="R54" s="66"/>
      <c r="S54" s="112"/>
      <c r="T54" s="66"/>
      <c r="U54" s="103"/>
      <c r="V54" s="103"/>
      <c r="W54" s="103"/>
      <c r="X54" s="103"/>
      <c r="Y54" s="103"/>
      <c r="Z54" s="103"/>
      <c r="AA54" s="66"/>
      <c r="AB54" s="114"/>
      <c r="AC54" s="103"/>
      <c r="AD54" s="103"/>
      <c r="AE54" s="103"/>
      <c r="AF54" s="115"/>
    </row>
    <row r="55" spans="1:32" ht="11.45" customHeight="1" x14ac:dyDescent="0.25">
      <c r="K55" s="110"/>
      <c r="L55" s="110"/>
      <c r="Q55" s="112"/>
      <c r="R55" s="66"/>
      <c r="S55" s="112"/>
      <c r="T55" s="66"/>
      <c r="U55" s="103"/>
      <c r="V55" s="103"/>
      <c r="W55" s="103"/>
      <c r="X55" s="103"/>
      <c r="Y55" s="116"/>
      <c r="Z55" s="117"/>
      <c r="AA55" s="66"/>
      <c r="AB55" s="111"/>
      <c r="AC55" s="66"/>
      <c r="AD55" s="117"/>
      <c r="AE55" s="103"/>
      <c r="AF55" s="118"/>
    </row>
    <row r="56" spans="1:32" ht="11.45" customHeight="1" x14ac:dyDescent="0.25">
      <c r="A56" s="110"/>
      <c r="B56" s="110"/>
      <c r="D56" s="110"/>
      <c r="K56" s="110"/>
      <c r="L56" s="110"/>
      <c r="Q56" s="119"/>
      <c r="R56" s="66"/>
      <c r="S56" s="120" t="s">
        <v>29</v>
      </c>
      <c r="T56" s="108"/>
      <c r="U56" s="103"/>
      <c r="V56" s="103"/>
      <c r="W56" s="103"/>
      <c r="X56" s="103"/>
      <c r="Y56" s="116"/>
      <c r="Z56" s="117"/>
      <c r="AA56" s="66"/>
      <c r="AB56" s="111"/>
      <c r="AC56" s="66"/>
      <c r="AD56" s="117"/>
      <c r="AE56" s="66"/>
      <c r="AF56" s="118"/>
    </row>
    <row r="57" spans="1:32" ht="11.45" customHeight="1" x14ac:dyDescent="0.25">
      <c r="A57" s="110"/>
      <c r="B57" s="110"/>
      <c r="D57" s="110"/>
      <c r="K57" s="110"/>
      <c r="L57" s="110"/>
      <c r="R57" s="121"/>
      <c r="S57" s="66"/>
      <c r="T57" s="66"/>
      <c r="U57" s="103"/>
      <c r="V57" s="114"/>
      <c r="W57" s="103"/>
      <c r="X57" s="103"/>
      <c r="Y57" s="116"/>
      <c r="Z57" s="117"/>
      <c r="AA57" s="66"/>
      <c r="AB57" s="111"/>
      <c r="AC57" s="66"/>
      <c r="AD57" s="117"/>
      <c r="AE57" s="66"/>
      <c r="AF57" s="118"/>
    </row>
    <row r="58" spans="1:32" ht="11.4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4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4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4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4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printOptions horizontalCentered="1"/>
  <pageMargins left="0.7" right="0.7" top="0.75" bottom="0.75" header="0.3" footer="0.3"/>
  <pageSetup paperSize="9" fitToWidth="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F3927-3812-48DD-94E8-D883FE919B95}">
  <sheetPr codeName="Sheet236">
    <tabColor rgb="FFFFFF00"/>
    <pageSetUpPr fitToPage="1"/>
  </sheetPr>
  <dimension ref="A1:AF63"/>
  <sheetViews>
    <sheetView zoomScaleNormal="100" workbookViewId="0">
      <selection activeCell="C23" sqref="C23"/>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9"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3"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9"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3" style="65" customWidth="1"/>
    <col min="30" max="30" width="10.7109375" style="65" customWidth="1"/>
    <col min="31" max="31" width="1.7109375" style="65" customWidth="1"/>
    <col min="32" max="32" width="5.7109375" style="65" customWidth="1"/>
    <col min="33" max="256" width="9.14062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9.14062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9.14062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9.14062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9.14062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9.14062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9.14062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9.14062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9.14062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9.14062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9.14062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9.14062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9.14062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9.14062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9.14062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9.14062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9.14062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9.14062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9.14062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9.14062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9.14062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9.14062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9.14062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9.14062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9.14062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9.14062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9.14062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9.14062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9.14062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9.14062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9.14062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9.14062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9.14062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9.14062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9.14062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9.14062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9.14062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9.14062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9.14062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9.14062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9.14062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9.14062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9.14062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9.14062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9.14062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9.14062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9.14062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9.14062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9.14062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9.14062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9.14062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9.14062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9.14062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9.14062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9.14062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9.14062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9.14062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9.14062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9.14062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9.14062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9.14062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9.14062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9.14062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9.14062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67</v>
      </c>
      <c r="L7" s="72" t="s">
        <v>17</v>
      </c>
      <c r="Q7" s="66"/>
      <c r="R7" s="66"/>
      <c r="S7" s="73" t="str">
        <f>C7</f>
        <v>G. H. Seow Transportation Pte Ltd</v>
      </c>
      <c r="T7" s="66"/>
      <c r="U7" s="66"/>
      <c r="V7" s="66"/>
      <c r="W7" s="66"/>
      <c r="X7" s="66"/>
      <c r="Y7" s="66"/>
      <c r="Z7" s="66"/>
      <c r="AA7" s="66"/>
      <c r="AB7" s="74" t="s">
        <v>17</v>
      </c>
      <c r="AC7" s="66"/>
      <c r="AD7" s="66"/>
      <c r="AE7" s="66"/>
      <c r="AF7" s="68"/>
    </row>
    <row r="8" spans="1:32" x14ac:dyDescent="0.2">
      <c r="C8" s="75" t="s">
        <v>68</v>
      </c>
      <c r="Q8" s="66"/>
      <c r="R8" s="66"/>
      <c r="S8" s="76" t="str">
        <f>C8</f>
        <v>21 Woodlands Close</v>
      </c>
      <c r="T8" s="66"/>
      <c r="U8" s="66"/>
      <c r="V8" s="66"/>
      <c r="W8" s="66"/>
      <c r="X8" s="66"/>
      <c r="Y8" s="66"/>
      <c r="Z8" s="66"/>
      <c r="AA8" s="66"/>
      <c r="AB8" s="66"/>
      <c r="AC8" s="66"/>
      <c r="AD8" s="66"/>
      <c r="AE8" s="66"/>
      <c r="AF8" s="68"/>
    </row>
    <row r="9" spans="1:32" x14ac:dyDescent="0.2">
      <c r="C9" s="75" t="s">
        <v>69</v>
      </c>
      <c r="L9" s="75" t="s">
        <v>18</v>
      </c>
      <c r="M9" s="136" t="s">
        <v>168</v>
      </c>
      <c r="Q9" s="66"/>
      <c r="R9" s="66"/>
      <c r="S9" s="76" t="str">
        <f>C9</f>
        <v>#08-41, Primz Bizhub</v>
      </c>
      <c r="T9" s="66"/>
      <c r="U9" s="66"/>
      <c r="V9" s="66"/>
      <c r="W9" s="66"/>
      <c r="X9" s="66"/>
      <c r="Y9" s="66"/>
      <c r="Z9" s="66"/>
      <c r="AA9" s="66"/>
      <c r="AB9" s="76" t="s">
        <v>18</v>
      </c>
      <c r="AC9" s="76" t="str">
        <f>M9</f>
        <v>DN202505-21</v>
      </c>
      <c r="AD9" s="66"/>
      <c r="AE9" s="66"/>
      <c r="AF9" s="68"/>
    </row>
    <row r="10" spans="1:32" x14ac:dyDescent="0.2">
      <c r="C10" s="75" t="s">
        <v>70</v>
      </c>
      <c r="Q10" s="66"/>
      <c r="R10" s="66"/>
      <c r="S10" s="76" t="str">
        <f>C10</f>
        <v>Singapore 737854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15</v>
      </c>
      <c r="N12" s="145">
        <v>45802</v>
      </c>
      <c r="Q12" s="66"/>
      <c r="R12" s="66"/>
      <c r="S12" s="76"/>
      <c r="T12" s="66"/>
      <c r="U12" s="66"/>
      <c r="V12" s="66"/>
      <c r="W12" s="66"/>
      <c r="X12" s="66"/>
      <c r="Y12" s="66"/>
      <c r="Z12" s="66"/>
      <c r="AA12" s="66"/>
      <c r="AB12" s="140" t="s">
        <v>19</v>
      </c>
      <c r="AC12" s="77">
        <f>M12</f>
        <v>15</v>
      </c>
      <c r="AD12" s="151">
        <f>N12</f>
        <v>45802</v>
      </c>
      <c r="AE12" s="66"/>
      <c r="AF12" s="68"/>
    </row>
    <row r="13" spans="1:32" ht="12.75" customHeight="1" x14ac:dyDescent="0.2">
      <c r="Q13" s="66"/>
      <c r="R13" s="66"/>
      <c r="S13" s="66"/>
      <c r="T13" s="66"/>
      <c r="U13" s="66"/>
      <c r="V13" s="66"/>
      <c r="W13" s="66"/>
      <c r="X13" s="66"/>
      <c r="Y13" s="66"/>
      <c r="Z13" s="66"/>
      <c r="AA13" s="66"/>
      <c r="AB13" s="66"/>
      <c r="AC13" s="66"/>
      <c r="AD13" s="66"/>
      <c r="AE13" s="66"/>
      <c r="AF13" s="68"/>
    </row>
    <row r="14" spans="1:32" ht="12.75"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x14ac:dyDescent="0.2">
      <c r="A15" s="82"/>
      <c r="B15" s="2"/>
      <c r="C15" s="2"/>
      <c r="D15" s="2"/>
      <c r="E15" s="2"/>
      <c r="F15" s="2"/>
      <c r="G15" s="2"/>
      <c r="H15" s="2"/>
      <c r="I15" s="2"/>
      <c r="J15" s="2"/>
      <c r="K15" s="2"/>
      <c r="L15" s="2"/>
      <c r="M15" s="5"/>
      <c r="N15" s="5"/>
      <c r="O15" s="17"/>
      <c r="Q15" s="85"/>
      <c r="R15" s="66"/>
      <c r="S15" s="66"/>
      <c r="T15" s="66"/>
      <c r="U15" s="66"/>
      <c r="V15" s="66"/>
      <c r="W15" s="66"/>
      <c r="X15" s="66"/>
      <c r="Y15" s="66"/>
      <c r="Z15" s="66"/>
      <c r="AA15" s="66"/>
      <c r="AB15" s="66"/>
      <c r="AC15" s="86"/>
      <c r="AD15" s="86"/>
      <c r="AE15" s="87"/>
      <c r="AF15" s="68"/>
    </row>
    <row r="16" spans="1:32" x14ac:dyDescent="0.2">
      <c r="A16" s="84"/>
      <c r="B16" s="2"/>
      <c r="C16" s="136" t="s">
        <v>169</v>
      </c>
      <c r="D16" s="12"/>
      <c r="E16" s="12"/>
      <c r="F16" s="12"/>
      <c r="G16" s="12"/>
      <c r="H16" s="2"/>
      <c r="I16" s="136"/>
      <c r="J16" s="2"/>
      <c r="K16" s="2"/>
      <c r="L16" s="12"/>
      <c r="M16" s="12"/>
      <c r="N16" s="12"/>
      <c r="O16" s="162"/>
      <c r="Q16" s="87"/>
      <c r="R16" s="66"/>
      <c r="S16" s="136" t="s">
        <v>162</v>
      </c>
      <c r="T16" s="12"/>
      <c r="U16" s="12"/>
      <c r="V16" s="12"/>
      <c r="W16" s="12"/>
      <c r="X16" s="2"/>
      <c r="Y16" s="136"/>
      <c r="Z16" s="2"/>
      <c r="AA16" s="2"/>
      <c r="AB16" s="12"/>
      <c r="AC16" s="12"/>
      <c r="AD16" s="12"/>
      <c r="AE16" s="87"/>
      <c r="AF16" s="68"/>
    </row>
    <row r="17" spans="1:32" x14ac:dyDescent="0.2">
      <c r="A17" s="84"/>
      <c r="B17" s="2"/>
      <c r="C17" s="12" t="s">
        <v>163</v>
      </c>
      <c r="D17" s="12"/>
      <c r="E17" s="12"/>
      <c r="F17" s="12"/>
      <c r="G17" s="12"/>
      <c r="H17" s="12"/>
      <c r="I17" s="125"/>
      <c r="J17" s="12"/>
      <c r="K17" s="144"/>
      <c r="L17" s="148"/>
      <c r="M17" s="56"/>
      <c r="N17" s="12"/>
      <c r="O17" s="162"/>
      <c r="Q17" s="87"/>
      <c r="R17" s="66"/>
      <c r="S17" s="12" t="s">
        <v>163</v>
      </c>
      <c r="T17" s="12"/>
      <c r="U17" s="12"/>
      <c r="V17" s="12"/>
      <c r="W17" s="12"/>
      <c r="X17" s="12"/>
      <c r="Y17" s="125"/>
      <c r="Z17" s="12"/>
      <c r="AA17" s="144"/>
      <c r="AB17" s="148"/>
      <c r="AC17" s="56"/>
      <c r="AD17" s="12"/>
      <c r="AE17" s="87"/>
      <c r="AF17" s="68"/>
    </row>
    <row r="18" spans="1:32" x14ac:dyDescent="0.2">
      <c r="A18" s="84"/>
      <c r="B18" s="2"/>
      <c r="C18" s="174"/>
      <c r="D18" s="13"/>
      <c r="E18" s="13"/>
      <c r="F18" s="13"/>
      <c r="G18" s="13"/>
      <c r="H18" s="13"/>
      <c r="I18" s="13"/>
      <c r="J18" s="13"/>
      <c r="K18" s="13"/>
      <c r="L18" s="13"/>
      <c r="M18" s="13"/>
      <c r="N18" s="13"/>
      <c r="O18" s="162"/>
      <c r="Q18" s="87"/>
      <c r="R18" s="66"/>
      <c r="S18" s="174"/>
      <c r="T18" s="13"/>
      <c r="U18" s="13"/>
      <c r="V18" s="13"/>
      <c r="W18" s="13"/>
      <c r="X18" s="13"/>
      <c r="Y18" s="13"/>
      <c r="Z18" s="13"/>
      <c r="AA18" s="13"/>
      <c r="AB18" s="13"/>
      <c r="AC18" s="13"/>
      <c r="AD18" s="13"/>
      <c r="AE18" s="91"/>
      <c r="AF18" s="68"/>
    </row>
    <row r="19" spans="1:32" x14ac:dyDescent="0.2">
      <c r="A19" s="84"/>
      <c r="B19" s="2"/>
      <c r="C19" s="12"/>
      <c r="D19" s="12"/>
      <c r="E19" s="12"/>
      <c r="F19" s="175"/>
      <c r="G19" s="176"/>
      <c r="H19" s="12"/>
      <c r="I19" s="12"/>
      <c r="J19" s="12"/>
      <c r="K19" s="12"/>
      <c r="L19" s="12"/>
      <c r="M19" s="12"/>
      <c r="N19" s="12"/>
      <c r="O19" s="162"/>
      <c r="Q19" s="87"/>
      <c r="R19" s="66"/>
      <c r="S19" s="12"/>
      <c r="T19" s="12"/>
      <c r="U19" s="12"/>
      <c r="V19" s="175"/>
      <c r="W19" s="176"/>
      <c r="X19" s="12"/>
      <c r="Y19" s="12"/>
      <c r="Z19" s="12"/>
      <c r="AA19" s="12"/>
      <c r="AB19" s="12"/>
      <c r="AC19" s="12"/>
      <c r="AD19" s="12"/>
      <c r="AE19" s="91"/>
      <c r="AF19" s="68"/>
    </row>
    <row r="20" spans="1:32" x14ac:dyDescent="0.2">
      <c r="A20" s="84"/>
      <c r="B20" s="2"/>
      <c r="C20" s="12" t="s">
        <v>164</v>
      </c>
      <c r="D20" s="12"/>
      <c r="E20" s="12"/>
      <c r="F20" s="12"/>
      <c r="G20" s="12"/>
      <c r="H20" s="12"/>
      <c r="I20" s="12"/>
      <c r="J20" s="12"/>
      <c r="K20" s="12"/>
      <c r="L20" s="12"/>
      <c r="M20" s="75" t="s">
        <v>20</v>
      </c>
      <c r="N20" s="131">
        <v>140</v>
      </c>
      <c r="O20" s="162"/>
      <c r="Q20" s="87"/>
      <c r="R20" s="66"/>
      <c r="S20" s="12" t="s">
        <v>164</v>
      </c>
      <c r="T20" s="12"/>
      <c r="U20" s="12"/>
      <c r="V20" s="12"/>
      <c r="W20" s="12"/>
      <c r="X20" s="12"/>
      <c r="Y20" s="12"/>
      <c r="Z20" s="12"/>
      <c r="AA20" s="12"/>
      <c r="AB20" s="12"/>
      <c r="AC20" s="75" t="s">
        <v>20</v>
      </c>
      <c r="AD20" s="131">
        <v>140</v>
      </c>
      <c r="AE20" s="91"/>
      <c r="AF20" s="68"/>
    </row>
    <row r="21" spans="1:32" x14ac:dyDescent="0.2">
      <c r="A21" s="84"/>
      <c r="B21" s="2"/>
      <c r="C21" s="152" t="s">
        <v>165</v>
      </c>
      <c r="D21" s="2"/>
      <c r="E21" s="12"/>
      <c r="F21" s="12"/>
      <c r="G21" s="12"/>
      <c r="H21" s="12"/>
      <c r="I21" s="12"/>
      <c r="J21" s="12"/>
      <c r="K21" s="12"/>
      <c r="L21" s="12"/>
      <c r="M21" s="12"/>
      <c r="N21" s="12"/>
      <c r="O21" s="162"/>
      <c r="Q21" s="87"/>
      <c r="R21" s="66"/>
      <c r="S21" s="152" t="s">
        <v>165</v>
      </c>
      <c r="T21" s="2"/>
      <c r="U21" s="12"/>
      <c r="V21" s="12"/>
      <c r="W21" s="12"/>
      <c r="X21" s="12"/>
      <c r="Y21" s="12"/>
      <c r="Z21" s="12"/>
      <c r="AA21" s="12"/>
      <c r="AB21" s="12"/>
      <c r="AC21" s="12"/>
      <c r="AD21" s="12"/>
      <c r="AE21" s="91"/>
      <c r="AF21" s="68"/>
    </row>
    <row r="22" spans="1:32" x14ac:dyDescent="0.2">
      <c r="A22" s="84"/>
      <c r="C22" s="75" t="s">
        <v>166</v>
      </c>
      <c r="D22" s="75"/>
      <c r="E22" s="75"/>
      <c r="F22" s="75"/>
      <c r="G22" s="75"/>
      <c r="H22" s="75"/>
      <c r="I22" s="75"/>
      <c r="J22" s="75"/>
      <c r="L22" s="75"/>
      <c r="M22" s="75"/>
      <c r="N22" s="88"/>
      <c r="O22" s="89"/>
      <c r="Q22" s="87"/>
      <c r="R22" s="66"/>
      <c r="S22" s="75" t="s">
        <v>166</v>
      </c>
      <c r="T22" s="75"/>
      <c r="U22" s="75"/>
      <c r="V22" s="75"/>
      <c r="W22" s="75"/>
      <c r="X22" s="75"/>
      <c r="Y22" s="75"/>
      <c r="Z22" s="75"/>
      <c r="AA22" s="63"/>
      <c r="AB22" s="75"/>
      <c r="AC22" s="75"/>
      <c r="AD22" s="88"/>
      <c r="AE22" s="91"/>
      <c r="AF22" s="68"/>
    </row>
    <row r="23" spans="1:32" x14ac:dyDescent="0.2">
      <c r="A23" s="84"/>
      <c r="C23" s="75"/>
      <c r="M23" s="75"/>
      <c r="N23" s="131"/>
      <c r="O23" s="89"/>
      <c r="Q23" s="87"/>
      <c r="R23" s="66"/>
      <c r="S23" s="75"/>
      <c r="T23" s="63"/>
      <c r="U23" s="63"/>
      <c r="V23" s="63"/>
      <c r="W23" s="63"/>
      <c r="X23" s="63"/>
      <c r="Y23" s="63"/>
      <c r="Z23" s="63"/>
      <c r="AA23" s="63"/>
      <c r="AB23" s="63"/>
      <c r="AC23" s="75"/>
      <c r="AD23" s="131"/>
      <c r="AE23" s="91"/>
      <c r="AF23" s="68"/>
    </row>
    <row r="24" spans="1:32" x14ac:dyDescent="0.2">
      <c r="A24" s="84"/>
      <c r="C24" s="137"/>
      <c r="E24" s="75"/>
      <c r="F24" s="75"/>
      <c r="G24" s="75"/>
      <c r="H24" s="168"/>
      <c r="I24" s="168"/>
      <c r="L24" s="75"/>
      <c r="M24" s="75"/>
      <c r="N24" s="131"/>
      <c r="O24" s="89"/>
      <c r="Q24" s="87"/>
      <c r="R24" s="66"/>
      <c r="S24" s="137"/>
      <c r="T24" s="63"/>
      <c r="U24" s="75"/>
      <c r="V24" s="75"/>
      <c r="W24" s="75"/>
      <c r="X24" s="168"/>
      <c r="Y24" s="168"/>
      <c r="Z24" s="63"/>
      <c r="AA24" s="63"/>
      <c r="AB24" s="75"/>
      <c r="AC24" s="75"/>
      <c r="AD24" s="131"/>
      <c r="AE24" s="91"/>
      <c r="AF24" s="68"/>
    </row>
    <row r="25" spans="1:32" x14ac:dyDescent="0.2">
      <c r="A25" s="84"/>
      <c r="D25" s="75"/>
      <c r="E25" s="75"/>
      <c r="F25" s="75"/>
      <c r="G25" s="75"/>
      <c r="H25" s="75"/>
      <c r="I25" s="75"/>
      <c r="J25" s="75"/>
      <c r="K25" s="75"/>
      <c r="L25" s="75"/>
      <c r="M25" s="94"/>
      <c r="N25" s="95"/>
      <c r="O25" s="89"/>
      <c r="Q25" s="87"/>
      <c r="R25" s="66"/>
      <c r="S25" s="63"/>
      <c r="T25" s="75"/>
      <c r="U25" s="75"/>
      <c r="V25" s="75"/>
      <c r="W25" s="75"/>
      <c r="X25" s="75"/>
      <c r="Y25" s="75"/>
      <c r="Z25" s="75"/>
      <c r="AA25" s="75"/>
      <c r="AB25" s="75"/>
      <c r="AC25" s="94"/>
      <c r="AD25" s="95"/>
      <c r="AE25" s="91"/>
      <c r="AF25" s="68"/>
    </row>
    <row r="26" spans="1:32" ht="10.15" customHeight="1" x14ac:dyDescent="0.2">
      <c r="A26" s="84"/>
      <c r="D26" s="75"/>
      <c r="E26" s="75"/>
      <c r="F26" s="75"/>
      <c r="G26" s="75"/>
      <c r="H26" s="75"/>
      <c r="I26" s="75"/>
      <c r="J26" s="75"/>
      <c r="K26" s="75"/>
      <c r="L26" s="75"/>
      <c r="M26" s="75"/>
      <c r="N26" s="88"/>
      <c r="O26" s="89"/>
      <c r="Q26" s="87"/>
      <c r="R26" s="66"/>
      <c r="S26" s="63"/>
      <c r="T26" s="75"/>
      <c r="U26" s="75"/>
      <c r="V26" s="75"/>
      <c r="W26" s="75"/>
      <c r="X26" s="75"/>
      <c r="Y26" s="75"/>
      <c r="Z26" s="75"/>
      <c r="AA26" s="75"/>
      <c r="AB26" s="75"/>
      <c r="AC26" s="75"/>
      <c r="AD26" s="88"/>
      <c r="AE26" s="91"/>
      <c r="AF26" s="68"/>
    </row>
    <row r="27" spans="1:32" x14ac:dyDescent="0.2">
      <c r="A27" s="84"/>
      <c r="D27" s="75"/>
      <c r="E27" s="75"/>
      <c r="F27" s="75"/>
      <c r="G27" s="75"/>
      <c r="H27" s="75"/>
      <c r="I27" s="75"/>
      <c r="J27" s="75"/>
      <c r="K27" s="75"/>
      <c r="L27" s="75"/>
      <c r="M27" s="75" t="s">
        <v>20</v>
      </c>
      <c r="N27" s="88">
        <f>SUM(N20:N25)</f>
        <v>140</v>
      </c>
      <c r="O27" s="89"/>
      <c r="Q27" s="87"/>
      <c r="R27" s="66"/>
      <c r="S27" s="63"/>
      <c r="T27" s="75"/>
      <c r="U27" s="75"/>
      <c r="V27" s="75"/>
      <c r="W27" s="75"/>
      <c r="X27" s="75"/>
      <c r="Y27" s="75"/>
      <c r="Z27" s="75"/>
      <c r="AA27" s="75"/>
      <c r="AB27" s="75"/>
      <c r="AC27" s="75" t="s">
        <v>20</v>
      </c>
      <c r="AD27" s="88">
        <f>SUM(AD20:AD25)</f>
        <v>140</v>
      </c>
      <c r="AE27" s="91"/>
      <c r="AF27" s="68"/>
    </row>
    <row r="28" spans="1:32" ht="10.15" customHeight="1" thickBot="1" x14ac:dyDescent="0.25">
      <c r="A28" s="84"/>
      <c r="D28" s="75"/>
      <c r="E28" s="75"/>
      <c r="F28" s="75"/>
      <c r="G28" s="75"/>
      <c r="H28" s="75"/>
      <c r="I28" s="75"/>
      <c r="J28" s="75"/>
      <c r="K28" s="75"/>
      <c r="L28" s="75"/>
      <c r="M28" s="98"/>
      <c r="N28" s="98"/>
      <c r="O28" s="99"/>
      <c r="Q28" s="87"/>
      <c r="R28" s="66"/>
      <c r="S28" s="63"/>
      <c r="T28" s="75"/>
      <c r="U28" s="75"/>
      <c r="V28" s="75"/>
      <c r="W28" s="75"/>
      <c r="X28" s="75"/>
      <c r="Y28" s="75"/>
      <c r="Z28" s="75"/>
      <c r="AA28" s="75"/>
      <c r="AB28" s="75"/>
      <c r="AC28" s="98"/>
      <c r="AD28" s="98"/>
      <c r="AE28" s="101"/>
      <c r="AF28" s="68"/>
    </row>
    <row r="29" spans="1:32" ht="10.15" customHeight="1" thickTop="1" x14ac:dyDescent="0.2">
      <c r="A29" s="84"/>
      <c r="D29" s="75"/>
      <c r="E29" s="75"/>
      <c r="F29" s="75"/>
      <c r="G29" s="75"/>
      <c r="H29" s="75"/>
      <c r="I29" s="75"/>
      <c r="J29" s="75"/>
      <c r="K29" s="75"/>
      <c r="L29" s="75"/>
      <c r="M29" s="75"/>
      <c r="N29" s="75"/>
      <c r="O29" s="99"/>
      <c r="Q29" s="87"/>
      <c r="R29" s="66"/>
      <c r="S29" s="63"/>
      <c r="T29" s="75"/>
      <c r="U29" s="75"/>
      <c r="V29" s="75"/>
      <c r="W29" s="75"/>
      <c r="X29" s="75"/>
      <c r="Y29" s="75"/>
      <c r="Z29" s="75"/>
      <c r="AA29" s="75"/>
      <c r="AB29" s="75"/>
      <c r="AC29" s="75"/>
      <c r="AD29" s="75"/>
      <c r="AE29" s="101"/>
      <c r="AF29" s="68"/>
    </row>
    <row r="30" spans="1:32" ht="10.15" customHeight="1" x14ac:dyDescent="0.2">
      <c r="A30" s="84"/>
      <c r="D30" s="75"/>
      <c r="E30" s="75"/>
      <c r="F30" s="75"/>
      <c r="G30" s="75"/>
      <c r="H30" s="75"/>
      <c r="I30" s="75"/>
      <c r="J30" s="75"/>
      <c r="K30" s="75"/>
      <c r="L30" s="75"/>
      <c r="M30" s="75"/>
      <c r="N30" s="75"/>
      <c r="O30" s="99"/>
      <c r="Q30" s="87"/>
      <c r="R30" s="66"/>
      <c r="S30" s="63"/>
      <c r="T30" s="75"/>
      <c r="U30" s="75"/>
      <c r="V30" s="75"/>
      <c r="W30" s="75"/>
      <c r="X30" s="75"/>
      <c r="Y30" s="75"/>
      <c r="Z30" s="75"/>
      <c r="AA30" s="75"/>
      <c r="AB30" s="75"/>
      <c r="AC30" s="75"/>
      <c r="AD30" s="75"/>
      <c r="AE30" s="101"/>
      <c r="AF30" s="68"/>
    </row>
    <row r="31" spans="1:32" ht="10.15" customHeight="1" x14ac:dyDescent="0.2">
      <c r="A31" s="84"/>
      <c r="D31" s="75"/>
      <c r="E31" s="75"/>
      <c r="F31" s="75"/>
      <c r="G31" s="75"/>
      <c r="H31" s="75"/>
      <c r="I31" s="75"/>
      <c r="J31" s="75"/>
      <c r="K31" s="75"/>
      <c r="L31" s="75"/>
      <c r="M31" s="75"/>
      <c r="N31" s="75"/>
      <c r="O31" s="99"/>
      <c r="Q31" s="87"/>
      <c r="R31" s="66"/>
      <c r="S31" s="63"/>
      <c r="T31" s="75"/>
      <c r="U31" s="75"/>
      <c r="V31" s="75"/>
      <c r="W31" s="75"/>
      <c r="X31" s="75"/>
      <c r="Y31" s="75"/>
      <c r="Z31" s="75"/>
      <c r="AA31" s="75"/>
      <c r="AB31" s="75"/>
      <c r="AC31" s="75"/>
      <c r="AD31" s="75"/>
      <c r="AE31" s="101"/>
      <c r="AF31" s="68"/>
    </row>
    <row r="32" spans="1:32" ht="12.75" customHeight="1" x14ac:dyDescent="0.2">
      <c r="A32" s="84"/>
      <c r="D32" s="75"/>
      <c r="E32" s="75"/>
      <c r="F32" s="75"/>
      <c r="G32" s="75"/>
      <c r="H32" s="75"/>
      <c r="I32" s="75"/>
      <c r="J32" s="75"/>
      <c r="K32" s="75"/>
      <c r="L32" s="75"/>
      <c r="M32" s="75"/>
      <c r="N32" s="75"/>
      <c r="O32" s="99"/>
      <c r="Q32" s="87"/>
      <c r="R32" s="66"/>
      <c r="S32" s="63"/>
      <c r="T32" s="75"/>
      <c r="U32" s="75"/>
      <c r="V32" s="75"/>
      <c r="W32" s="75"/>
      <c r="X32" s="75"/>
      <c r="Y32" s="75"/>
      <c r="Z32" s="75"/>
      <c r="AA32" s="75"/>
      <c r="AB32" s="75"/>
      <c r="AC32" s="75"/>
      <c r="AD32" s="75"/>
      <c r="AE32" s="101"/>
      <c r="AF32" s="68"/>
    </row>
    <row r="33" spans="1:32" x14ac:dyDescent="0.2">
      <c r="A33" s="84"/>
      <c r="C33" s="75" t="s">
        <v>21</v>
      </c>
      <c r="E33" s="75"/>
      <c r="F33" s="148" t="s">
        <v>167</v>
      </c>
      <c r="G33" s="75"/>
      <c r="H33" s="75"/>
      <c r="I33" s="75"/>
      <c r="J33" s="75"/>
      <c r="K33" s="75"/>
      <c r="L33" s="75"/>
      <c r="M33" s="75"/>
      <c r="N33" s="75"/>
      <c r="O33" s="99"/>
      <c r="Q33" s="87"/>
      <c r="R33" s="66"/>
      <c r="S33" s="75" t="s">
        <v>21</v>
      </c>
      <c r="T33" s="63"/>
      <c r="U33" s="75"/>
      <c r="V33" s="148" t="s">
        <v>167</v>
      </c>
      <c r="W33" s="75"/>
      <c r="X33" s="75"/>
      <c r="Y33" s="75"/>
      <c r="Z33" s="75"/>
      <c r="AA33" s="75"/>
      <c r="AB33" s="75"/>
      <c r="AC33" s="75"/>
      <c r="AD33" s="75"/>
      <c r="AE33" s="101"/>
      <c r="AF33" s="68"/>
    </row>
    <row r="34" spans="1:32" ht="12.75" customHeight="1" x14ac:dyDescent="0.2">
      <c r="A34" s="84"/>
      <c r="D34" s="75"/>
      <c r="E34" s="75"/>
      <c r="F34" s="75"/>
      <c r="G34" s="75"/>
      <c r="H34" s="75"/>
      <c r="I34" s="75"/>
      <c r="J34" s="75"/>
      <c r="K34" s="75"/>
      <c r="L34" s="75"/>
      <c r="M34" s="75"/>
      <c r="N34" s="75"/>
      <c r="O34" s="99"/>
      <c r="Q34" s="87"/>
      <c r="R34" s="66"/>
      <c r="S34" s="66"/>
      <c r="T34" s="76"/>
      <c r="U34" s="76"/>
      <c r="V34" s="76"/>
      <c r="W34" s="76"/>
      <c r="X34" s="76"/>
      <c r="Y34" s="76"/>
      <c r="Z34" s="76"/>
      <c r="AA34" s="76"/>
      <c r="AB34" s="76"/>
      <c r="AC34" s="76"/>
      <c r="AD34" s="76"/>
      <c r="AE34" s="101"/>
      <c r="AF34" s="68"/>
    </row>
    <row r="35" spans="1:32" ht="12.75" customHeight="1" x14ac:dyDescent="0.2">
      <c r="A35" s="84"/>
      <c r="O35" s="84"/>
      <c r="Q35" s="87"/>
      <c r="R35" s="66"/>
      <c r="S35" s="66"/>
      <c r="T35" s="66"/>
      <c r="U35" s="66"/>
      <c r="V35" s="66"/>
      <c r="W35" s="66"/>
      <c r="X35" s="66"/>
      <c r="Y35" s="66"/>
      <c r="Z35" s="66"/>
      <c r="AA35" s="66"/>
      <c r="AB35" s="66"/>
      <c r="AC35" s="66"/>
      <c r="AD35" s="66"/>
      <c r="AE35" s="87"/>
      <c r="AF35" s="68"/>
    </row>
    <row r="36" spans="1:32" ht="12.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65" customHeight="1" x14ac:dyDescent="0.25">
      <c r="K53" s="110"/>
      <c r="L53" s="110"/>
      <c r="Q53" s="111" t="s">
        <v>27</v>
      </c>
      <c r="S53" s="112"/>
      <c r="T53" s="66"/>
      <c r="U53" s="66"/>
      <c r="V53" s="66"/>
      <c r="W53" s="66"/>
      <c r="X53" s="66"/>
      <c r="Y53" s="66"/>
      <c r="Z53" s="66"/>
      <c r="AA53" s="66"/>
      <c r="AB53" s="66"/>
      <c r="AC53" s="66"/>
      <c r="AD53" s="66"/>
      <c r="AE53" s="66"/>
      <c r="AF53" s="113" t="s">
        <v>28</v>
      </c>
    </row>
    <row r="54" spans="1:32" ht="11.65" customHeight="1" x14ac:dyDescent="0.25">
      <c r="K54" s="110"/>
      <c r="L54" s="110"/>
      <c r="Q54" s="112"/>
      <c r="R54" s="66"/>
      <c r="S54" s="112"/>
      <c r="T54" s="66"/>
      <c r="U54" s="103"/>
      <c r="V54" s="103"/>
      <c r="W54" s="103"/>
      <c r="X54" s="103"/>
      <c r="Y54" s="103"/>
      <c r="Z54" s="103"/>
      <c r="AA54" s="66"/>
      <c r="AB54" s="114"/>
      <c r="AC54" s="103"/>
      <c r="AD54" s="103"/>
      <c r="AE54" s="103"/>
      <c r="AF54" s="115"/>
    </row>
    <row r="55" spans="1:32" ht="11.65" customHeight="1" x14ac:dyDescent="0.25">
      <c r="K55" s="110"/>
      <c r="L55" s="110"/>
      <c r="Q55" s="112"/>
      <c r="R55" s="66"/>
      <c r="S55" s="112"/>
      <c r="T55" s="66"/>
      <c r="U55" s="103"/>
      <c r="V55" s="103"/>
      <c r="W55" s="103"/>
      <c r="X55" s="103"/>
      <c r="Y55" s="116"/>
      <c r="Z55" s="117"/>
      <c r="AA55" s="66"/>
      <c r="AB55" s="111"/>
      <c r="AC55" s="66"/>
      <c r="AD55" s="117"/>
      <c r="AE55" s="103"/>
      <c r="AF55" s="118"/>
    </row>
    <row r="56" spans="1:32" ht="11.65" customHeight="1" x14ac:dyDescent="0.25">
      <c r="A56" s="110"/>
      <c r="B56" s="110"/>
      <c r="D56" s="110"/>
      <c r="K56" s="110"/>
      <c r="L56" s="110"/>
      <c r="Q56" s="119"/>
      <c r="R56" s="66"/>
      <c r="S56" s="120" t="s">
        <v>29</v>
      </c>
      <c r="T56" s="108"/>
      <c r="U56" s="103"/>
      <c r="V56" s="103"/>
      <c r="W56" s="103"/>
      <c r="X56" s="103"/>
      <c r="Y56" s="116"/>
      <c r="Z56" s="117"/>
      <c r="AA56" s="66"/>
      <c r="AB56" s="111"/>
      <c r="AC56" s="66"/>
      <c r="AD56" s="117"/>
      <c r="AE56" s="66"/>
      <c r="AF56" s="118"/>
    </row>
    <row r="57" spans="1:32" ht="11.65" customHeight="1" x14ac:dyDescent="0.25">
      <c r="A57" s="110"/>
      <c r="B57" s="110"/>
      <c r="D57" s="110"/>
      <c r="K57" s="110"/>
      <c r="L57" s="110"/>
      <c r="R57" s="121"/>
      <c r="S57" s="66"/>
      <c r="T57" s="66"/>
      <c r="U57" s="103"/>
      <c r="V57" s="114"/>
      <c r="W57" s="103"/>
      <c r="X57" s="103"/>
      <c r="Y57" s="116"/>
      <c r="Z57" s="117"/>
      <c r="AA57" s="66"/>
      <c r="AB57" s="111"/>
      <c r="AC57" s="66"/>
      <c r="AD57" s="117"/>
      <c r="AE57" s="66"/>
      <c r="AF57" s="118"/>
    </row>
    <row r="58" spans="1:32" ht="11.6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6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6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6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6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printOptions horizontalCentered="1"/>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E46C3A41-EFA9-464F-8077-3CC4658E09AD}">
          <x14:formula1>
            <xm:f>'Drop down list '!$H$2:$H$32</xm:f>
          </x14:formula1>
          <xm:sqref>M12</xm:sqref>
        </x14:dataValidation>
        <x14:dataValidation type="list" allowBlank="1" showInputMessage="1" showErrorMessage="1" xr:uid="{6D31D347-46EE-4773-9D39-81C369D101DC}">
          <x14:formula1>
            <xm:f>'Drop down list '!$I$2:$I$4</xm:f>
          </x14:formula1>
          <xm:sqref>N12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3F668-3500-4BB1-AEEE-0DB235A8FE10}">
  <sheetPr codeName="Sheet1065">
    <tabColor rgb="FFFFFF00"/>
    <pageSetUpPr fitToPage="1"/>
  </sheetPr>
  <dimension ref="A1:AH57"/>
  <sheetViews>
    <sheetView zoomScaleNormal="100" workbookViewId="0">
      <selection activeCell="C23" sqref="C23"/>
    </sheetView>
  </sheetViews>
  <sheetFormatPr defaultRowHeight="12.75" x14ac:dyDescent="0.2"/>
  <cols>
    <col min="1" max="1" width="4.570312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5.42578125" style="2" customWidth="1"/>
    <col min="8" max="8" width="3" style="2" bestFit="1" customWidth="1"/>
    <col min="9" max="9" width="6.7109375" style="2" customWidth="1"/>
    <col min="10" max="11" width="7" style="2" customWidth="1"/>
    <col min="12" max="12" width="7.7109375" style="2" customWidth="1"/>
    <col min="13" max="13" width="3" style="2" customWidth="1"/>
    <col min="14" max="14" width="9.140625" style="2" customWidth="1"/>
    <col min="15" max="15" width="3.28515625" style="2" customWidth="1"/>
    <col min="16" max="16" width="1.85546875" customWidth="1"/>
    <col min="17" max="17" width="2.85546875" customWidth="1"/>
    <col min="18" max="18" width="2.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8" width="6.85546875" customWidth="1"/>
    <col min="29" max="29" width="7.7109375" customWidth="1"/>
    <col min="30" max="30" width="3" customWidth="1"/>
    <col min="31" max="31" width="10.140625" customWidth="1"/>
    <col min="32" max="32" width="1.85546875" customWidth="1"/>
    <col min="33" max="34" width="3.2851562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12</v>
      </c>
      <c r="L7" s="8" t="s">
        <v>17</v>
      </c>
      <c r="R7" s="24"/>
      <c r="S7" s="24"/>
      <c r="T7" s="28" t="str">
        <f>C7</f>
        <v>Singapore Tong Teik (Pte) Ltd</v>
      </c>
      <c r="U7" s="24"/>
      <c r="V7" s="24"/>
      <c r="W7" s="24"/>
      <c r="X7" s="24"/>
      <c r="Y7" s="24"/>
      <c r="Z7" s="24"/>
      <c r="AA7" s="24"/>
      <c r="AB7" s="24"/>
      <c r="AC7" s="217" t="s">
        <v>17</v>
      </c>
      <c r="AD7" s="217"/>
      <c r="AE7" s="217"/>
      <c r="AF7" s="24"/>
      <c r="AG7" s="24"/>
      <c r="AH7" s="26"/>
    </row>
    <row r="8" spans="1:34" x14ac:dyDescent="0.2">
      <c r="C8" s="12" t="s">
        <v>184</v>
      </c>
      <c r="R8" s="24"/>
      <c r="S8" s="24"/>
      <c r="T8" s="29" t="str">
        <f>C8</f>
        <v>7 Temasek Boulevard,</v>
      </c>
      <c r="U8" s="24"/>
      <c r="V8" s="24"/>
      <c r="W8" s="24"/>
      <c r="X8" s="24"/>
      <c r="Y8" s="24"/>
      <c r="Z8" s="24"/>
      <c r="AA8" s="24"/>
      <c r="AB8" s="24"/>
      <c r="AC8" s="24"/>
      <c r="AD8" s="24"/>
      <c r="AE8" s="24"/>
      <c r="AF8" s="24"/>
      <c r="AG8" s="24"/>
      <c r="AH8" s="26"/>
    </row>
    <row r="9" spans="1:34" x14ac:dyDescent="0.2">
      <c r="C9" s="12" t="s">
        <v>185</v>
      </c>
      <c r="L9" s="12" t="s">
        <v>18</v>
      </c>
      <c r="M9" s="136" t="s">
        <v>225</v>
      </c>
      <c r="R9" s="24"/>
      <c r="S9" s="24"/>
      <c r="T9" s="29" t="str">
        <f>C9</f>
        <v>#20-02 Suntec Tower One,</v>
      </c>
      <c r="U9" s="24"/>
      <c r="V9" s="24"/>
      <c r="W9" s="24"/>
      <c r="X9" s="24"/>
      <c r="Y9" s="24"/>
      <c r="Z9" s="24"/>
      <c r="AA9" s="24"/>
      <c r="AB9" s="24"/>
      <c r="AC9" s="29" t="s">
        <v>18</v>
      </c>
      <c r="AD9" s="214" t="str">
        <f>M9</f>
        <v>DN202511-13</v>
      </c>
      <c r="AE9" s="214"/>
      <c r="AF9" s="24"/>
      <c r="AG9" s="24"/>
      <c r="AH9" s="26"/>
    </row>
    <row r="10" spans="1:34" x14ac:dyDescent="0.2">
      <c r="C10" s="12" t="s">
        <v>186</v>
      </c>
      <c r="R10" s="24"/>
      <c r="S10" s="24"/>
      <c r="T10" s="29" t="str">
        <f>C10</f>
        <v>Singapore 038987</v>
      </c>
      <c r="U10" s="24"/>
      <c r="V10" s="24"/>
      <c r="W10" s="24"/>
      <c r="X10" s="24"/>
      <c r="Y10" s="24"/>
      <c r="Z10" s="24"/>
      <c r="AA10" s="24"/>
      <c r="AB10" s="24"/>
      <c r="AC10" s="24"/>
      <c r="AD10" s="24"/>
      <c r="AE10" s="24"/>
      <c r="AF10" s="24"/>
      <c r="AG10" s="24"/>
      <c r="AH10" s="26"/>
    </row>
    <row r="11" spans="1:34" x14ac:dyDescent="0.2">
      <c r="C11" s="12"/>
      <c r="R11" s="24"/>
      <c r="S11" s="24"/>
      <c r="T11" s="29"/>
      <c r="U11" s="24"/>
      <c r="V11" s="24"/>
      <c r="W11" s="24"/>
      <c r="X11" s="24"/>
      <c r="Y11" s="24"/>
      <c r="Z11" s="24"/>
      <c r="AA11" s="24"/>
      <c r="AB11" s="24"/>
      <c r="AC11" s="24"/>
      <c r="AD11" s="24"/>
      <c r="AE11" s="24"/>
      <c r="AF11" s="24"/>
      <c r="AG11" s="24"/>
      <c r="AH11" s="26"/>
    </row>
    <row r="12" spans="1:34" x14ac:dyDescent="0.2">
      <c r="C12" s="12"/>
      <c r="L12" s="144" t="s">
        <v>19</v>
      </c>
      <c r="M12" s="144">
        <v>12</v>
      </c>
      <c r="N12" s="145">
        <v>45986</v>
      </c>
      <c r="R12" s="24"/>
      <c r="S12" s="24"/>
      <c r="T12" s="29"/>
      <c r="U12" s="24"/>
      <c r="V12" s="24"/>
      <c r="W12" s="24"/>
      <c r="X12" s="24"/>
      <c r="Y12" s="24"/>
      <c r="Z12" s="24"/>
      <c r="AA12" s="24"/>
      <c r="AB12" s="24"/>
      <c r="AC12" s="147" t="s">
        <v>19</v>
      </c>
      <c r="AD12" s="30">
        <f>M12</f>
        <v>12</v>
      </c>
      <c r="AE12" s="146">
        <f>N12</f>
        <v>45986</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213" t="s">
        <v>12</v>
      </c>
      <c r="D16" s="216"/>
      <c r="E16" s="216"/>
      <c r="F16" s="216"/>
      <c r="G16" s="216"/>
      <c r="I16" s="136" t="s">
        <v>217</v>
      </c>
      <c r="L16" s="12"/>
      <c r="M16" s="12"/>
      <c r="N16" s="12"/>
      <c r="O16" s="12"/>
      <c r="P16" s="128"/>
      <c r="R16" s="35"/>
      <c r="S16" s="24"/>
      <c r="T16" s="214" t="str">
        <f>C16</f>
        <v>Singapore Tong Teik (Pte) Ltd</v>
      </c>
      <c r="U16" s="214"/>
      <c r="V16" s="214"/>
      <c r="W16" s="214"/>
      <c r="X16" s="214"/>
      <c r="Z16" s="12" t="str">
        <f>I16</f>
        <v>S/I No. S25-7481</v>
      </c>
      <c r="AB16" s="24"/>
      <c r="AC16" s="29"/>
      <c r="AD16" s="29"/>
      <c r="AE16" s="29"/>
      <c r="AF16" s="29"/>
      <c r="AG16" s="36"/>
      <c r="AH16" s="26"/>
    </row>
    <row r="17" spans="1:34" ht="12.75" customHeight="1" x14ac:dyDescent="0.2">
      <c r="A17" s="10"/>
      <c r="C17" s="12">
        <v>160</v>
      </c>
      <c r="D17" s="216" t="s">
        <v>5</v>
      </c>
      <c r="E17" s="216"/>
      <c r="F17" s="216"/>
      <c r="G17" s="216"/>
      <c r="H17" s="216"/>
      <c r="I17" s="125">
        <f>C17/16*20.16</f>
        <v>201.6</v>
      </c>
      <c r="J17" s="12" t="s">
        <v>36</v>
      </c>
      <c r="K17" s="144" t="s">
        <v>226</v>
      </c>
      <c r="L17" s="148" t="s">
        <v>2</v>
      </c>
      <c r="M17" s="56"/>
      <c r="N17" s="12"/>
      <c r="O17" s="12"/>
      <c r="P17" s="128"/>
      <c r="R17" s="35"/>
      <c r="S17" s="24"/>
      <c r="T17" s="29">
        <f>C17</f>
        <v>160</v>
      </c>
      <c r="U17" s="29" t="str">
        <f>D17</f>
        <v>Shrinkwrapped Plastic Pallets Base</v>
      </c>
      <c r="V17" s="29"/>
      <c r="W17" s="29"/>
      <c r="Z17" s="126">
        <f>I17</f>
        <v>201.6</v>
      </c>
      <c r="AA17" s="12" t="s">
        <v>37</v>
      </c>
      <c r="AB17" s="12" t="str">
        <f>K17</f>
        <v>10 x 20'</v>
      </c>
      <c r="AC17" s="12" t="str">
        <f>L17</f>
        <v>SMR 10 Rubber</v>
      </c>
      <c r="AD17" s="29"/>
      <c r="AE17" s="29"/>
      <c r="AF17" s="29"/>
      <c r="AG17" s="36"/>
      <c r="AH17" s="26"/>
    </row>
    <row r="18" spans="1:34" ht="12.75" customHeight="1" x14ac:dyDescent="0.2">
      <c r="A18" s="10"/>
      <c r="C18" s="136" t="s">
        <v>232</v>
      </c>
      <c r="D18" s="12"/>
      <c r="E18" s="12"/>
      <c r="F18" s="12"/>
      <c r="G18" s="12"/>
      <c r="H18" s="12"/>
      <c r="I18" s="12"/>
      <c r="J18" s="12"/>
      <c r="K18" s="12"/>
      <c r="L18" s="12"/>
      <c r="M18" s="12"/>
      <c r="N18" s="12"/>
      <c r="O18" s="12"/>
      <c r="P18" s="128"/>
      <c r="R18" s="35"/>
      <c r="S18" s="24"/>
      <c r="T18" s="29" t="str">
        <f>C18</f>
        <v>Shipped per One Manhatten Voy 043E</v>
      </c>
      <c r="U18" s="29"/>
      <c r="V18" s="29"/>
      <c r="W18" s="29"/>
      <c r="X18" s="29"/>
      <c r="Y18" s="29"/>
      <c r="Z18" s="29"/>
      <c r="AA18" s="29"/>
      <c r="AB18" s="29"/>
      <c r="AC18" s="29"/>
      <c r="AD18" s="29"/>
      <c r="AE18" s="29"/>
      <c r="AF18" s="29"/>
      <c r="AG18" s="36"/>
      <c r="AH18" s="26"/>
    </row>
    <row r="19" spans="1:34" ht="12.75" customHeight="1" x14ac:dyDescent="0.2">
      <c r="A19" s="10"/>
      <c r="C19" s="12" t="s">
        <v>38</v>
      </c>
      <c r="D19" s="12"/>
      <c r="E19" s="12">
        <v>11</v>
      </c>
      <c r="F19" s="211">
        <v>45986</v>
      </c>
      <c r="G19" s="211"/>
      <c r="H19" s="12"/>
      <c r="I19" s="12"/>
      <c r="J19" s="12"/>
      <c r="K19" s="12"/>
      <c r="L19" s="12"/>
      <c r="M19" s="12"/>
      <c r="N19" s="12"/>
      <c r="O19" s="12"/>
      <c r="P19" s="128"/>
      <c r="R19" s="35"/>
      <c r="S19" s="24"/>
      <c r="T19" s="29" t="str">
        <f>C19</f>
        <v>B/L dated</v>
      </c>
      <c r="U19" s="29"/>
      <c r="V19" s="29">
        <f>E19</f>
        <v>11</v>
      </c>
      <c r="W19" s="212">
        <f>F19</f>
        <v>45986</v>
      </c>
      <c r="X19" s="212"/>
      <c r="Y19" s="29"/>
      <c r="Z19" s="29"/>
      <c r="AA19" s="29"/>
      <c r="AB19" s="29"/>
      <c r="AC19" s="29"/>
      <c r="AD19" s="29"/>
      <c r="AE19" s="29"/>
      <c r="AF19" s="29"/>
      <c r="AG19" s="36"/>
      <c r="AH19" s="26"/>
    </row>
    <row r="20" spans="1:34" ht="12.75" customHeight="1" x14ac:dyDescent="0.2">
      <c r="A20" s="10"/>
      <c r="C20" s="216" t="s">
        <v>227</v>
      </c>
      <c r="D20" s="216"/>
      <c r="E20" s="216"/>
      <c r="F20" s="216"/>
      <c r="G20" s="12"/>
      <c r="H20" s="12"/>
      <c r="I20" s="12"/>
      <c r="J20" s="12"/>
      <c r="K20" s="12"/>
      <c r="L20" s="12"/>
      <c r="M20" s="12"/>
      <c r="N20" s="12"/>
      <c r="O20" s="12"/>
      <c r="P20" s="128"/>
      <c r="R20" s="35"/>
      <c r="S20" s="24"/>
      <c r="T20" s="29" t="str">
        <f>C20</f>
        <v>To Charleston</v>
      </c>
      <c r="U20" s="29"/>
      <c r="V20" s="29"/>
      <c r="W20" s="29"/>
      <c r="X20" s="29"/>
      <c r="Y20" s="29"/>
      <c r="Z20" s="29"/>
      <c r="AA20" s="29"/>
      <c r="AB20" s="29"/>
      <c r="AC20" s="29"/>
      <c r="AD20" s="29"/>
      <c r="AE20" s="29"/>
      <c r="AF20" s="29"/>
      <c r="AG20" s="36"/>
      <c r="AH20" s="26"/>
    </row>
    <row r="21" spans="1:34" ht="10.15" customHeight="1" x14ac:dyDescent="0.2">
      <c r="A21" s="10"/>
      <c r="C21" s="13"/>
      <c r="D21" s="4"/>
      <c r="E21" s="13"/>
      <c r="F21" s="13"/>
      <c r="G21" s="13"/>
      <c r="H21" s="13"/>
      <c r="I21" s="13"/>
      <c r="J21" s="13"/>
      <c r="K21" s="13"/>
      <c r="L21" s="13"/>
      <c r="M21" s="13"/>
      <c r="N21" s="13"/>
      <c r="O21" s="12"/>
      <c r="P21" s="128"/>
      <c r="R21" s="35"/>
      <c r="S21" s="24"/>
      <c r="T21" s="37"/>
      <c r="U21" s="38"/>
      <c r="V21" s="37"/>
      <c r="W21" s="37"/>
      <c r="X21" s="37"/>
      <c r="Y21" s="37"/>
      <c r="Z21" s="37"/>
      <c r="AA21" s="37"/>
      <c r="AB21" s="37"/>
      <c r="AC21" s="37"/>
      <c r="AD21" s="37"/>
      <c r="AE21" s="37"/>
      <c r="AF21" s="29"/>
      <c r="AG21" s="36"/>
      <c r="AH21" s="26"/>
    </row>
    <row r="22" spans="1:34" x14ac:dyDescent="0.2">
      <c r="A22" s="10"/>
      <c r="C22" s="12"/>
      <c r="E22" s="12"/>
      <c r="F22" s="12"/>
      <c r="G22" s="12"/>
      <c r="H22" s="12"/>
      <c r="I22" s="12"/>
      <c r="J22" s="12"/>
      <c r="K22" s="12"/>
      <c r="L22" s="12"/>
      <c r="M22" s="12"/>
      <c r="N22" s="12"/>
      <c r="O22" s="12"/>
      <c r="P22" s="128"/>
      <c r="R22" s="35"/>
      <c r="S22" s="24"/>
      <c r="T22" s="29"/>
      <c r="U22" s="24"/>
      <c r="V22" s="29"/>
      <c r="W22" s="29"/>
      <c r="X22" s="29"/>
      <c r="Y22" s="29"/>
      <c r="Z22" s="29"/>
      <c r="AA22" s="29"/>
      <c r="AB22" s="29"/>
      <c r="AC22" s="29"/>
      <c r="AD22" s="29"/>
      <c r="AE22" s="29"/>
      <c r="AF22" s="29"/>
      <c r="AG22" s="36"/>
      <c r="AH22" s="26"/>
    </row>
    <row r="23" spans="1:34" x14ac:dyDescent="0.2">
      <c r="A23" s="10"/>
      <c r="C23" s="12" t="s">
        <v>187</v>
      </c>
      <c r="E23" s="12"/>
      <c r="F23" s="12"/>
      <c r="G23" s="12"/>
      <c r="H23" s="12"/>
      <c r="I23" s="12"/>
      <c r="J23" s="60"/>
      <c r="L23" s="12"/>
      <c r="M23" s="12" t="s">
        <v>20</v>
      </c>
      <c r="N23" s="14">
        <v>2700</v>
      </c>
      <c r="O23" s="14"/>
      <c r="P23" s="128"/>
      <c r="R23" s="35"/>
      <c r="S23" s="24"/>
      <c r="T23" s="29" t="str">
        <f>C23</f>
        <v xml:space="preserve">Origin T.H.C paid on your behalf for </v>
      </c>
      <c r="U23" s="24"/>
      <c r="V23" s="29"/>
      <c r="W23" s="29"/>
      <c r="X23" s="29"/>
      <c r="Y23" s="29"/>
      <c r="Z23" s="190"/>
      <c r="AA23" s="59"/>
      <c r="AB23" s="2"/>
      <c r="AC23" s="29"/>
      <c r="AD23" s="29" t="s">
        <v>20</v>
      </c>
      <c r="AE23" s="39">
        <f>N23</f>
        <v>2700</v>
      </c>
      <c r="AF23" s="39"/>
      <c r="AG23" s="40"/>
      <c r="AH23" s="26"/>
    </row>
    <row r="24" spans="1:34" x14ac:dyDescent="0.2">
      <c r="A24" s="10"/>
      <c r="C24" s="12" t="s">
        <v>228</v>
      </c>
      <c r="E24" s="12"/>
      <c r="F24" s="12"/>
      <c r="G24" s="12"/>
      <c r="H24" s="12"/>
      <c r="L24" s="12"/>
      <c r="M24" s="12"/>
      <c r="N24" s="14"/>
      <c r="O24" s="14"/>
      <c r="P24" s="128"/>
      <c r="R24" s="35"/>
      <c r="S24" s="24"/>
      <c r="T24" s="29" t="str">
        <f>C24</f>
        <v xml:space="preserve">10 x 20' SMR20 as per photocopy of </v>
      </c>
      <c r="U24" s="24"/>
      <c r="V24" s="29"/>
      <c r="W24" s="29"/>
      <c r="X24" s="29"/>
      <c r="Y24" s="29"/>
      <c r="Z24" s="29"/>
      <c r="AA24" s="29"/>
      <c r="AB24" s="24"/>
      <c r="AC24" s="29"/>
      <c r="AD24" s="29"/>
      <c r="AE24" s="39"/>
      <c r="AF24" s="39"/>
      <c r="AG24" s="40"/>
      <c r="AH24" s="26"/>
    </row>
    <row r="25" spans="1:34" x14ac:dyDescent="0.2">
      <c r="A25" s="10"/>
      <c r="C25" s="12" t="s">
        <v>229</v>
      </c>
      <c r="E25" s="12"/>
      <c r="F25" s="12"/>
      <c r="G25" s="12"/>
      <c r="H25" s="12"/>
      <c r="I25" s="12"/>
      <c r="L25" s="12"/>
      <c r="M25" s="12"/>
      <c r="N25" s="14"/>
      <c r="O25" s="14"/>
      <c r="P25" s="128"/>
      <c r="R25" s="35"/>
      <c r="S25" s="24"/>
      <c r="T25" s="29" t="str">
        <f>C25</f>
        <v>DJY LOGISTICS (S) PTE. LTD.</v>
      </c>
      <c r="U25" s="24"/>
      <c r="V25" s="29"/>
      <c r="W25" s="29"/>
      <c r="X25" s="29"/>
      <c r="Y25" s="29"/>
      <c r="Z25" s="29"/>
      <c r="AA25" s="24"/>
      <c r="AB25" s="24"/>
      <c r="AC25" s="29"/>
      <c r="AD25" s="29"/>
      <c r="AE25" s="39"/>
      <c r="AF25" s="39"/>
      <c r="AG25" s="40"/>
      <c r="AH25" s="26"/>
    </row>
    <row r="26" spans="1:34" x14ac:dyDescent="0.2">
      <c r="A26" s="10"/>
      <c r="C26" s="2" t="s">
        <v>230</v>
      </c>
      <c r="D26" s="12"/>
      <c r="E26" s="12"/>
      <c r="F26" s="12"/>
      <c r="G26" s="12"/>
      <c r="H26" s="12"/>
      <c r="I26" s="12"/>
      <c r="J26" s="12"/>
      <c r="K26" s="12"/>
      <c r="L26" s="12"/>
      <c r="M26" s="13"/>
      <c r="N26" s="15"/>
      <c r="O26" s="14"/>
      <c r="P26" s="128"/>
      <c r="R26" s="35"/>
      <c r="S26" s="24"/>
      <c r="T26" s="24" t="str">
        <f>C26</f>
        <v>Invoice No. DJYIN250693</v>
      </c>
      <c r="U26" s="29"/>
      <c r="V26" s="29"/>
      <c r="W26" s="29"/>
      <c r="X26" s="29"/>
      <c r="Y26" s="29"/>
      <c r="Z26" s="29"/>
      <c r="AA26" s="29"/>
      <c r="AB26" s="29"/>
      <c r="AC26" s="29"/>
      <c r="AD26" s="37"/>
      <c r="AE26" s="41"/>
      <c r="AF26" s="39"/>
      <c r="AG26" s="40"/>
      <c r="AH26" s="26"/>
    </row>
    <row r="27" spans="1:34" ht="10.15" customHeight="1" x14ac:dyDescent="0.2">
      <c r="A27" s="10"/>
      <c r="C27" s="2" t="s">
        <v>189</v>
      </c>
      <c r="D27" s="12"/>
      <c r="E27" s="12"/>
      <c r="F27" s="12"/>
      <c r="G27" s="12"/>
      <c r="H27" s="12"/>
      <c r="I27" s="12"/>
      <c r="J27" s="12"/>
      <c r="K27" s="12"/>
      <c r="L27" s="12"/>
      <c r="M27" s="12"/>
      <c r="N27" s="14"/>
      <c r="O27" s="14"/>
      <c r="P27" s="128"/>
      <c r="R27" s="35"/>
      <c r="S27" s="24"/>
      <c r="T27" s="24" t="str">
        <f>C27</f>
        <v>Attached</v>
      </c>
      <c r="U27" s="29"/>
      <c r="V27" s="29"/>
      <c r="W27" s="29"/>
      <c r="X27" s="29"/>
      <c r="Y27" s="29"/>
      <c r="Z27" s="29"/>
      <c r="AA27" s="29"/>
      <c r="AB27" s="29"/>
      <c r="AC27" s="29"/>
      <c r="AD27" s="29"/>
      <c r="AE27" s="39"/>
      <c r="AF27" s="39"/>
      <c r="AG27" s="40"/>
      <c r="AH27" s="26"/>
    </row>
    <row r="28" spans="1:34" x14ac:dyDescent="0.2">
      <c r="A28" s="10"/>
      <c r="D28" s="12"/>
      <c r="E28" s="12"/>
      <c r="F28" s="12"/>
      <c r="G28" s="12"/>
      <c r="H28" s="12"/>
      <c r="I28" s="12"/>
      <c r="J28" s="12"/>
      <c r="K28" s="12"/>
      <c r="L28" s="12"/>
      <c r="M28" s="12" t="s">
        <v>20</v>
      </c>
      <c r="N28" s="14">
        <f>SUM(N23:N25)</f>
        <v>2700</v>
      </c>
      <c r="O28" s="14"/>
      <c r="P28" s="128"/>
      <c r="R28" s="35"/>
      <c r="S28" s="24"/>
      <c r="T28" s="24"/>
      <c r="U28" s="29"/>
      <c r="V28" s="29"/>
      <c r="W28" s="29"/>
      <c r="X28" s="29"/>
      <c r="Y28" s="29"/>
      <c r="Z28" s="29"/>
      <c r="AA28" s="29"/>
      <c r="AB28" s="29"/>
      <c r="AC28" s="29"/>
      <c r="AD28" s="29" t="s">
        <v>20</v>
      </c>
      <c r="AE28" s="39">
        <f>SUM(AE23:AE25)</f>
        <v>2700</v>
      </c>
      <c r="AF28" s="39"/>
      <c r="AG28" s="40"/>
      <c r="AH28" s="26"/>
    </row>
    <row r="29" spans="1:34" ht="10.15" customHeight="1" thickBot="1" x14ac:dyDescent="0.25">
      <c r="A29" s="10"/>
      <c r="D29" s="12"/>
      <c r="E29" s="12"/>
      <c r="F29" s="12"/>
      <c r="G29" s="12"/>
      <c r="H29" s="12"/>
      <c r="I29" s="12"/>
      <c r="J29" s="12"/>
      <c r="K29" s="12"/>
      <c r="L29" s="12"/>
      <c r="M29" s="16"/>
      <c r="N29" s="16"/>
      <c r="O29" s="12"/>
      <c r="P29" s="128"/>
      <c r="R29" s="35"/>
      <c r="S29" s="24"/>
      <c r="T29" s="24"/>
      <c r="U29" s="29"/>
      <c r="V29" s="29"/>
      <c r="W29" s="29"/>
      <c r="X29" s="29"/>
      <c r="Y29" s="29"/>
      <c r="Z29" s="29"/>
      <c r="AA29" s="29"/>
      <c r="AB29" s="29"/>
      <c r="AC29" s="29"/>
      <c r="AD29" s="42"/>
      <c r="AE29" s="42"/>
      <c r="AF29" s="29"/>
      <c r="AG29" s="36"/>
      <c r="AH29" s="26"/>
    </row>
    <row r="30" spans="1:34" ht="10.15" customHeight="1" thickTop="1" x14ac:dyDescent="0.2">
      <c r="A30" s="10"/>
      <c r="D30" s="12"/>
      <c r="E30" s="12"/>
      <c r="F30" s="12"/>
      <c r="G30" s="12"/>
      <c r="H30" s="12"/>
      <c r="I30" s="12"/>
      <c r="J30" s="12"/>
      <c r="K30" s="12"/>
      <c r="L30" s="12"/>
      <c r="M30" s="12"/>
      <c r="N30" s="12"/>
      <c r="O30" s="12"/>
      <c r="P30" s="128"/>
      <c r="R30" s="35"/>
      <c r="S30" s="24"/>
      <c r="T30" s="24"/>
      <c r="U30" s="29"/>
      <c r="V30" s="29"/>
      <c r="W30" s="29"/>
      <c r="X30" s="29"/>
      <c r="Y30" s="29"/>
      <c r="Z30" s="29"/>
      <c r="AA30" s="29"/>
      <c r="AB30" s="29"/>
      <c r="AC30" s="29"/>
      <c r="AD30" s="29"/>
      <c r="AE30" s="29"/>
      <c r="AF30" s="29"/>
      <c r="AG30" s="36"/>
      <c r="AH30" s="26"/>
    </row>
    <row r="31" spans="1:34" ht="12.75" customHeight="1" x14ac:dyDescent="0.2">
      <c r="A31" s="10"/>
      <c r="D31" s="12"/>
      <c r="E31" s="12"/>
      <c r="F31" s="12"/>
      <c r="G31" s="12"/>
      <c r="H31" s="12"/>
      <c r="I31" s="12"/>
      <c r="J31" s="12"/>
      <c r="K31" s="12"/>
      <c r="L31" s="12"/>
      <c r="M31" s="12"/>
      <c r="N31" s="12"/>
      <c r="O31" s="12"/>
      <c r="P31" s="128"/>
      <c r="R31" s="35"/>
      <c r="S31" s="24"/>
      <c r="T31" s="24"/>
      <c r="U31" s="29"/>
      <c r="V31" s="29"/>
      <c r="W31" s="29"/>
      <c r="X31" s="29"/>
      <c r="Y31" s="29"/>
      <c r="Z31" s="29"/>
      <c r="AA31" s="29"/>
      <c r="AB31" s="29"/>
      <c r="AC31" s="29"/>
      <c r="AD31" s="29"/>
      <c r="AE31" s="29"/>
      <c r="AF31" s="29"/>
      <c r="AG31" s="36"/>
      <c r="AH31" s="26"/>
    </row>
    <row r="32" spans="1:34" x14ac:dyDescent="0.2">
      <c r="A32" s="10"/>
      <c r="C32" s="12" t="s">
        <v>190</v>
      </c>
      <c r="E32" s="213" t="s">
        <v>231</v>
      </c>
      <c r="F32" s="213"/>
      <c r="G32" s="213"/>
      <c r="H32" s="213"/>
      <c r="I32" s="213"/>
      <c r="J32" s="213"/>
      <c r="K32" s="213"/>
      <c r="L32" s="213"/>
      <c r="M32" s="213"/>
      <c r="N32" s="213"/>
      <c r="O32" s="213"/>
      <c r="P32" s="128"/>
      <c r="R32" s="35"/>
      <c r="S32" s="24"/>
      <c r="T32" s="29" t="str">
        <f>C32</f>
        <v xml:space="preserve">Singapore Dollars </v>
      </c>
      <c r="U32" s="24"/>
      <c r="V32" s="214" t="str">
        <f>E32</f>
        <v>TWO THOUSAND AND SEVEN HUNDRED ONLY</v>
      </c>
      <c r="W32" s="214"/>
      <c r="X32" s="214"/>
      <c r="Y32" s="214"/>
      <c r="Z32" s="214"/>
      <c r="AA32" s="214"/>
      <c r="AB32" s="214"/>
      <c r="AC32" s="214"/>
      <c r="AD32" s="214"/>
      <c r="AE32" s="214"/>
      <c r="AF32" s="29"/>
      <c r="AG32" s="36"/>
      <c r="AH32" s="26"/>
    </row>
    <row r="33" spans="1:34" ht="12.75" customHeight="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P34" s="128"/>
      <c r="R34" s="35"/>
      <c r="S34" s="24"/>
      <c r="T34" s="24"/>
      <c r="U34" s="24"/>
      <c r="V34" s="24"/>
      <c r="W34" s="24"/>
      <c r="X34" s="24"/>
      <c r="Y34" s="24"/>
      <c r="Z34" s="24"/>
      <c r="AA34" s="24"/>
      <c r="AB34" s="24"/>
      <c r="AC34" s="24"/>
      <c r="AD34" s="24"/>
      <c r="AE34" s="24"/>
      <c r="AF34" s="24"/>
      <c r="AG34" s="35"/>
      <c r="AH34" s="26"/>
    </row>
    <row r="35" spans="1:34" ht="12.75" customHeight="1" x14ac:dyDescent="0.2">
      <c r="R35" s="24"/>
      <c r="S35" s="24"/>
      <c r="T35" s="24"/>
      <c r="U35" s="24"/>
      <c r="V35" s="24"/>
      <c r="W35" s="24"/>
      <c r="X35" s="24"/>
      <c r="Y35" s="24"/>
      <c r="Z35" s="24"/>
      <c r="AA35" s="24"/>
      <c r="AB35" s="24"/>
      <c r="AC35" s="24"/>
      <c r="AD35" s="24"/>
      <c r="AE35" s="24"/>
      <c r="AF35" s="24"/>
      <c r="AG35" s="24"/>
      <c r="AH35" s="26"/>
    </row>
    <row r="36" spans="1:34" ht="12.75" customHeight="1" x14ac:dyDescent="0.2">
      <c r="R36" s="24"/>
      <c r="S36" s="24"/>
      <c r="T36" s="24"/>
      <c r="U36" s="24"/>
      <c r="V36" s="24"/>
      <c r="W36" s="24"/>
      <c r="X36" s="24"/>
      <c r="Y36" s="24"/>
      <c r="Z36" s="24"/>
      <c r="AA36" s="24"/>
      <c r="AB36" s="24"/>
      <c r="AC36" s="24"/>
      <c r="AD36" s="24"/>
      <c r="AE36" s="24"/>
      <c r="AF36" s="24"/>
      <c r="AG36" s="24"/>
      <c r="AH36" s="26"/>
    </row>
    <row r="37" spans="1:34" ht="12.75" customHeight="1" x14ac:dyDescent="0.2">
      <c r="D37" s="18"/>
      <c r="R37" s="24"/>
      <c r="S37" s="24"/>
      <c r="T37" s="24"/>
      <c r="U37" s="43"/>
      <c r="V37" s="24"/>
      <c r="W37" s="24"/>
      <c r="X37" s="24"/>
      <c r="Y37" s="24"/>
      <c r="Z37" s="24"/>
      <c r="AA37" s="24"/>
      <c r="AB37" s="24"/>
      <c r="AC37" s="24"/>
      <c r="AD37" s="24"/>
      <c r="AE37" s="24"/>
      <c r="AF37" s="24"/>
      <c r="AG37" s="24"/>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x14ac:dyDescent="0.2">
      <c r="N39" s="150" t="s">
        <v>23</v>
      </c>
      <c r="O39" s="150"/>
      <c r="R39" s="24"/>
      <c r="S39" s="24"/>
      <c r="T39" s="24"/>
      <c r="U39" s="24"/>
      <c r="V39" s="24"/>
      <c r="W39" s="24"/>
      <c r="X39" s="24"/>
      <c r="Y39" s="24"/>
      <c r="Z39" s="24"/>
      <c r="AA39" s="209" t="s">
        <v>24</v>
      </c>
      <c r="AB39" s="209"/>
      <c r="AC39" s="209"/>
      <c r="AD39" s="209"/>
      <c r="AE39" s="209"/>
      <c r="AF39" s="149"/>
      <c r="AG39" s="149"/>
      <c r="AH39" s="26"/>
    </row>
    <row r="40" spans="1:34" x14ac:dyDescent="0.2">
      <c r="R40" s="24"/>
      <c r="S40" s="24"/>
      <c r="T40" s="24"/>
      <c r="U40" s="24"/>
      <c r="V40" s="24"/>
      <c r="W40" s="24"/>
      <c r="X40" s="24"/>
      <c r="Y40" s="24"/>
      <c r="Z40" s="24"/>
      <c r="AA40" s="24"/>
      <c r="AB40" s="24"/>
      <c r="AC40" s="24"/>
      <c r="AD40" s="24"/>
      <c r="AE40" s="24"/>
      <c r="AF40" s="24"/>
      <c r="AG40" s="24"/>
      <c r="AH40" s="26"/>
    </row>
    <row r="41" spans="1:34" x14ac:dyDescent="0.2">
      <c r="R41" s="24"/>
      <c r="S41" s="24"/>
      <c r="T41" s="24"/>
      <c r="U41" s="24"/>
      <c r="V41" s="24"/>
      <c r="W41" s="24"/>
      <c r="X41" s="24"/>
      <c r="Y41" s="24"/>
      <c r="Z41" s="24"/>
      <c r="AA41" s="24"/>
      <c r="AB41" s="24"/>
      <c r="AC41" s="24"/>
      <c r="AD41" s="24"/>
      <c r="AE41" s="24"/>
      <c r="AF41" s="24"/>
      <c r="AG41" s="24"/>
      <c r="AH41" s="26"/>
    </row>
    <row r="42" spans="1:34" x14ac:dyDescent="0.2">
      <c r="R42" s="24"/>
      <c r="S42" s="24"/>
      <c r="T42" s="24"/>
      <c r="U42" s="24"/>
      <c r="V42" s="24"/>
      <c r="W42" s="24"/>
      <c r="X42" s="24"/>
      <c r="Y42" s="24"/>
      <c r="Z42" s="24"/>
      <c r="AA42" s="24"/>
      <c r="AB42" s="24"/>
      <c r="AC42" s="24"/>
      <c r="AD42" s="24"/>
      <c r="AE42" s="24"/>
      <c r="AF42" s="24"/>
      <c r="AG42" s="24"/>
      <c r="AH42" s="26"/>
    </row>
    <row r="43" spans="1:34" x14ac:dyDescent="0.2">
      <c r="N43" s="150" t="s">
        <v>25</v>
      </c>
      <c r="O43" s="150"/>
      <c r="R43" s="24"/>
      <c r="S43" s="24"/>
      <c r="T43" s="26"/>
      <c r="U43" s="24"/>
      <c r="V43" s="24"/>
      <c r="W43" s="24"/>
      <c r="X43" s="24"/>
      <c r="Y43" s="24"/>
      <c r="Z43" s="24"/>
      <c r="AA43" s="210" t="s">
        <v>25</v>
      </c>
      <c r="AB43" s="210"/>
      <c r="AC43" s="210"/>
      <c r="AD43" s="210"/>
      <c r="AE43" s="210"/>
      <c r="AF43" s="149"/>
      <c r="AG43" s="149"/>
      <c r="AH43" s="26"/>
    </row>
    <row r="44" spans="1:34" ht="12.75" customHeight="1" x14ac:dyDescent="0.2">
      <c r="C44" s="19" t="s">
        <v>26</v>
      </c>
      <c r="R44" s="24"/>
      <c r="S44" s="24"/>
      <c r="T44" s="44" t="s">
        <v>26</v>
      </c>
      <c r="U44" s="24"/>
      <c r="V44" s="24"/>
      <c r="W44" s="24"/>
      <c r="X44" s="24"/>
      <c r="Y44" s="24"/>
      <c r="Z44" s="24"/>
      <c r="AA44" s="24"/>
      <c r="AB44" s="24"/>
      <c r="AC44" s="24"/>
      <c r="AD44" s="24"/>
      <c r="AE44" s="24"/>
      <c r="AF44" s="24"/>
      <c r="AG44" s="24"/>
      <c r="AH44" s="26"/>
    </row>
    <row r="45" spans="1:34" ht="12.75" customHeight="1" x14ac:dyDescent="0.2">
      <c r="R45" s="24"/>
      <c r="S45" s="38"/>
      <c r="T45" s="38"/>
      <c r="U45" s="38"/>
      <c r="V45" s="38"/>
      <c r="W45" s="38"/>
      <c r="X45" s="38"/>
      <c r="Y45" s="38"/>
      <c r="Z45" s="38"/>
      <c r="AA45" s="38"/>
      <c r="AB45" s="38"/>
      <c r="AC45" s="38"/>
      <c r="AD45" s="38"/>
      <c r="AE45" s="38"/>
      <c r="AF45" s="38"/>
      <c r="AG45" s="24"/>
      <c r="AH45" s="26"/>
    </row>
    <row r="46" spans="1:34" ht="3" customHeight="1" x14ac:dyDescent="0.2">
      <c r="R46" s="24"/>
      <c r="S46" s="24"/>
      <c r="T46" s="24"/>
      <c r="U46" s="24"/>
      <c r="V46" s="24"/>
      <c r="W46" s="24"/>
      <c r="X46" s="24"/>
      <c r="Y46" s="24"/>
      <c r="Z46" s="24"/>
      <c r="AA46" s="24"/>
      <c r="AB46" s="24"/>
      <c r="AC46" s="24"/>
      <c r="AD46" s="24"/>
      <c r="AE46" s="24"/>
      <c r="AF46" s="24"/>
      <c r="AG46" s="24"/>
      <c r="AH46" s="26"/>
    </row>
    <row r="47" spans="1:34" ht="11.65" customHeight="1" x14ac:dyDescent="0.25">
      <c r="C47" s="12"/>
      <c r="D47" s="190" t="s">
        <v>191</v>
      </c>
      <c r="E47" s="12" t="s">
        <v>192</v>
      </c>
      <c r="F47" s="12"/>
      <c r="G47" s="12"/>
      <c r="H47" s="12"/>
      <c r="I47" s="12"/>
      <c r="J47" s="12"/>
      <c r="K47" s="9"/>
      <c r="L47" s="9"/>
      <c r="S47" s="45"/>
      <c r="T47" s="45" t="s">
        <v>27</v>
      </c>
      <c r="U47" s="24"/>
      <c r="V47" s="24"/>
      <c r="W47" s="24"/>
      <c r="X47" s="24"/>
      <c r="Y47" s="24"/>
      <c r="Z47" s="24"/>
      <c r="AA47" s="24"/>
      <c r="AB47" s="24"/>
      <c r="AC47" s="24"/>
      <c r="AD47" s="24"/>
      <c r="AE47" s="24"/>
      <c r="AF47" s="24"/>
      <c r="AG47" s="24"/>
      <c r="AH47" s="26"/>
    </row>
    <row r="48" spans="1:34" ht="11.65" customHeight="1" x14ac:dyDescent="0.25">
      <c r="C48" s="12"/>
      <c r="D48" s="12"/>
      <c r="E48" s="12" t="s">
        <v>193</v>
      </c>
      <c r="F48" s="12"/>
      <c r="G48" s="12"/>
      <c r="H48" s="12"/>
      <c r="I48" s="12"/>
      <c r="J48" s="12"/>
      <c r="K48" s="9"/>
      <c r="L48" s="9"/>
      <c r="R48" s="43"/>
      <c r="S48" s="43"/>
      <c r="T48" s="43"/>
      <c r="U48" s="43"/>
      <c r="V48" s="43"/>
      <c r="W48" s="43"/>
      <c r="X48" s="43"/>
      <c r="Y48" s="43"/>
      <c r="Z48" s="43"/>
      <c r="AA48" s="43"/>
      <c r="AB48" s="24"/>
      <c r="AC48" s="46"/>
      <c r="AD48" s="43"/>
      <c r="AE48" s="43"/>
      <c r="AF48" s="43"/>
      <c r="AG48" s="43"/>
      <c r="AH48" s="47"/>
    </row>
    <row r="49" spans="1:34" ht="11.65" customHeight="1" x14ac:dyDescent="0.25">
      <c r="C49" s="221" t="s">
        <v>194</v>
      </c>
      <c r="D49" s="221"/>
      <c r="E49" s="12" t="s">
        <v>195</v>
      </c>
      <c r="F49" s="12"/>
      <c r="G49" s="12"/>
      <c r="H49" s="12"/>
      <c r="I49" s="12"/>
      <c r="J49" s="12"/>
      <c r="K49" s="9"/>
      <c r="L49" s="9"/>
      <c r="R49" s="43"/>
      <c r="S49" s="29"/>
      <c r="T49" s="124"/>
      <c r="U49" s="124" t="str">
        <f>D47</f>
        <v>Bank Name:</v>
      </c>
      <c r="V49" s="29" t="str">
        <f>E47</f>
        <v>OCBC Bank</v>
      </c>
      <c r="W49" s="29"/>
      <c r="X49" s="29"/>
      <c r="Y49" s="29"/>
      <c r="AB49" s="24"/>
      <c r="AF49" s="43"/>
      <c r="AG49" s="43"/>
      <c r="AH49" s="61"/>
    </row>
    <row r="50" spans="1:34" ht="11.65" customHeight="1" x14ac:dyDescent="0.25">
      <c r="A50" s="9"/>
      <c r="B50" s="9"/>
      <c r="C50" s="221" t="s">
        <v>196</v>
      </c>
      <c r="D50" s="221"/>
      <c r="E50" s="222" t="s">
        <v>197</v>
      </c>
      <c r="F50" s="223"/>
      <c r="G50" s="223"/>
      <c r="H50" s="12"/>
      <c r="I50" s="12"/>
      <c r="J50" s="12"/>
      <c r="K50" s="9"/>
      <c r="L50" s="9"/>
      <c r="R50" s="43"/>
      <c r="S50" s="29"/>
      <c r="T50" s="124"/>
      <c r="U50" s="124"/>
      <c r="V50" s="29" t="str">
        <f>E48</f>
        <v>65 Chulia Streeet, OCBC Centre</v>
      </c>
      <c r="W50" s="29"/>
      <c r="X50" s="29"/>
      <c r="Y50" s="29"/>
      <c r="Z50" s="147"/>
      <c r="AA50" s="191"/>
      <c r="AB50" s="24"/>
      <c r="AC50" s="45"/>
      <c r="AD50" s="24"/>
      <c r="AE50" s="23"/>
      <c r="AF50" s="24"/>
      <c r="AG50" s="24"/>
      <c r="AH50" s="61"/>
    </row>
    <row r="51" spans="1:34" ht="11.65" customHeight="1" x14ac:dyDescent="0.25">
      <c r="A51" s="9"/>
      <c r="B51" s="9"/>
      <c r="C51" s="12"/>
      <c r="D51" s="190" t="s">
        <v>198</v>
      </c>
      <c r="E51" s="12" t="s">
        <v>199</v>
      </c>
      <c r="F51" s="12"/>
      <c r="G51" s="12"/>
      <c r="H51" s="12"/>
      <c r="I51" s="12"/>
      <c r="J51" s="12"/>
      <c r="K51" s="9"/>
      <c r="L51" s="9"/>
      <c r="R51" s="24"/>
      <c r="S51" s="29"/>
      <c r="T51" s="224" t="str">
        <f>C49</f>
        <v>Beneficiary Name:</v>
      </c>
      <c r="U51" s="224"/>
      <c r="V51" s="29" t="str">
        <f>E49</f>
        <v>Dinamik Shipping Pte Ltd</v>
      </c>
      <c r="W51" s="39"/>
      <c r="X51" s="29"/>
      <c r="Y51" s="29"/>
      <c r="Z51" s="147"/>
      <c r="AA51" s="191"/>
      <c r="AB51" s="24"/>
      <c r="AC51" s="45"/>
      <c r="AD51" s="24"/>
      <c r="AE51" s="23"/>
      <c r="AF51" s="24"/>
      <c r="AG51" s="24"/>
      <c r="AH51" s="61"/>
    </row>
    <row r="52" spans="1:34" ht="11.65" customHeight="1" x14ac:dyDescent="0.25">
      <c r="A52" s="9"/>
      <c r="B52" s="9"/>
      <c r="C52" s="12"/>
      <c r="D52" s="192"/>
      <c r="E52" s="12"/>
      <c r="F52" s="12"/>
      <c r="G52" s="12"/>
      <c r="H52" s="12"/>
      <c r="I52" s="12"/>
      <c r="J52" s="12"/>
      <c r="K52" s="9"/>
      <c r="L52" s="9"/>
      <c r="R52" s="24"/>
      <c r="S52" s="29"/>
      <c r="T52" s="224" t="str">
        <f>C50</f>
        <v>Bank Account No:</v>
      </c>
      <c r="U52" s="224"/>
      <c r="V52" s="29" t="str">
        <f>E50</f>
        <v>651869620001</v>
      </c>
      <c r="W52" s="29"/>
      <c r="X52" s="29"/>
      <c r="Y52" s="29"/>
      <c r="Z52" s="147"/>
      <c r="AA52" s="191"/>
      <c r="AB52" s="24"/>
      <c r="AC52" s="45"/>
      <c r="AD52" s="24"/>
      <c r="AE52" s="23"/>
      <c r="AF52" s="24"/>
      <c r="AG52" s="24"/>
      <c r="AH52" s="61"/>
    </row>
    <row r="53" spans="1:34" ht="11.65" customHeight="1" x14ac:dyDescent="0.25">
      <c r="A53" s="9"/>
      <c r="B53" s="9"/>
      <c r="C53" s="12"/>
      <c r="D53" s="192"/>
      <c r="E53" s="12"/>
      <c r="F53" s="192"/>
      <c r="G53" s="192"/>
      <c r="H53" s="192"/>
      <c r="I53" s="192"/>
      <c r="J53" s="12"/>
      <c r="K53" s="9"/>
      <c r="L53" s="9"/>
      <c r="N53" s="20"/>
      <c r="O53" s="9"/>
      <c r="R53" s="24"/>
      <c r="S53" s="29"/>
      <c r="T53" s="124"/>
      <c r="U53" s="193" t="s">
        <v>198</v>
      </c>
      <c r="V53" s="29" t="str">
        <f>E51</f>
        <v>200403109N</v>
      </c>
      <c r="W53" s="147"/>
      <c r="X53" s="191"/>
      <c r="Y53" s="29"/>
      <c r="Z53" s="147"/>
      <c r="AA53" s="191"/>
      <c r="AB53" s="24"/>
      <c r="AC53" s="45"/>
      <c r="AD53" s="24"/>
      <c r="AE53" s="23"/>
      <c r="AF53" s="24"/>
      <c r="AG53" s="24"/>
      <c r="AH53" s="26"/>
    </row>
    <row r="54" spans="1:34" ht="11.65" customHeight="1" x14ac:dyDescent="0.25">
      <c r="A54" s="9"/>
      <c r="B54" s="9"/>
      <c r="D54" s="9"/>
      <c r="F54" s="9"/>
      <c r="G54" s="9"/>
      <c r="H54" s="9"/>
      <c r="I54" s="9"/>
      <c r="K54" s="9"/>
      <c r="L54" s="9"/>
      <c r="R54" s="24"/>
      <c r="S54" s="29"/>
      <c r="T54" s="29"/>
      <c r="U54" s="191"/>
      <c r="V54" s="29"/>
      <c r="W54" s="147"/>
      <c r="X54" s="191"/>
      <c r="Y54" s="194"/>
      <c r="Z54" s="195"/>
      <c r="AA54" s="191"/>
      <c r="AB54" s="24"/>
      <c r="AC54" s="43"/>
      <c r="AD54" s="43"/>
      <c r="AE54" s="43"/>
      <c r="AF54" s="24"/>
      <c r="AG54" s="24"/>
      <c r="AH54" s="26"/>
    </row>
    <row r="55" spans="1:34" ht="11.65" customHeight="1" x14ac:dyDescent="0.25">
      <c r="A55" s="9"/>
      <c r="B55" s="9"/>
      <c r="D55" s="9"/>
      <c r="F55" s="9"/>
      <c r="G55" s="9"/>
      <c r="H55" s="9"/>
      <c r="I55" s="9"/>
      <c r="K55" s="9"/>
      <c r="L55" s="9"/>
      <c r="R55" s="24"/>
      <c r="S55" s="24"/>
      <c r="T55" s="196"/>
      <c r="U55" s="23"/>
      <c r="V55" s="24"/>
      <c r="W55" s="196"/>
      <c r="X55" s="23"/>
      <c r="Y55" s="52"/>
      <c r="Z55" s="196"/>
      <c r="AA55" s="23"/>
      <c r="AB55" s="24"/>
      <c r="AC55" s="43"/>
      <c r="AD55" s="43"/>
      <c r="AE55" s="43"/>
      <c r="AF55" s="24"/>
      <c r="AG55" s="24"/>
      <c r="AH55" s="26"/>
    </row>
    <row r="56" spans="1:34" ht="11.65" customHeight="1" x14ac:dyDescent="0.25">
      <c r="A56" s="9"/>
      <c r="B56" s="9"/>
      <c r="D56" s="9"/>
      <c r="F56" s="9"/>
      <c r="G56" s="9"/>
      <c r="H56" s="9"/>
      <c r="I56" s="9"/>
      <c r="K56" s="9"/>
      <c r="L56" s="9"/>
      <c r="R56" s="24"/>
      <c r="S56" s="24"/>
      <c r="T56" s="196"/>
      <c r="U56" s="23"/>
      <c r="V56" s="24"/>
      <c r="W56" s="196"/>
      <c r="X56" s="23"/>
      <c r="Y56" s="52"/>
      <c r="Z56" s="196"/>
      <c r="AA56" s="23"/>
      <c r="AB56" s="24"/>
      <c r="AC56" s="45"/>
      <c r="AD56" s="24"/>
      <c r="AE56" s="23"/>
      <c r="AF56" s="24"/>
      <c r="AG56" s="24"/>
      <c r="AH56" s="61"/>
    </row>
    <row r="57" spans="1:34" ht="13.5" x14ac:dyDescent="0.25">
      <c r="A57" s="9"/>
      <c r="B57" s="9"/>
      <c r="C57" s="9"/>
      <c r="D57" s="9"/>
      <c r="G57" s="9"/>
      <c r="H57" s="9"/>
      <c r="I57" s="9"/>
      <c r="J57" s="9"/>
      <c r="K57" s="9"/>
      <c r="L57" s="9"/>
      <c r="M57" s="9"/>
      <c r="N57" s="9"/>
      <c r="O57" s="9"/>
      <c r="P57" s="9"/>
      <c r="Q57" s="9"/>
      <c r="Z57" s="197"/>
    </row>
  </sheetData>
  <mergeCells count="17">
    <mergeCell ref="V32:AE32"/>
    <mergeCell ref="AA39:AE39"/>
    <mergeCell ref="AA43:AE43"/>
    <mergeCell ref="C49:D49"/>
    <mergeCell ref="AC7:AE7"/>
    <mergeCell ref="AD9:AE9"/>
    <mergeCell ref="C16:G16"/>
    <mergeCell ref="T16:X16"/>
    <mergeCell ref="D17:H17"/>
    <mergeCell ref="F19:G19"/>
    <mergeCell ref="W19:X19"/>
    <mergeCell ref="C50:D50"/>
    <mergeCell ref="E50:G50"/>
    <mergeCell ref="T51:U51"/>
    <mergeCell ref="T52:U52"/>
    <mergeCell ref="C20:F20"/>
    <mergeCell ref="E32:O32"/>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18E3E6D6-8D3E-4F49-AA08-5DD59DA9DDF8}">
          <x14:formula1>
            <xm:f>'Drop down list '!$H$2:$H$32</xm:f>
          </x14:formula1>
          <xm:sqref>M12 E19</xm:sqref>
        </x14:dataValidation>
        <x14:dataValidation type="list" allowBlank="1" showInputMessage="1" showErrorMessage="1" xr:uid="{72EA2032-F8BA-4D05-88A2-494EF3D2E3E1}">
          <x14:formula1>
            <xm:f>'Drop down list '!$I$2:$I$4</xm:f>
          </x14:formula1>
          <xm:sqref>F19</xm:sqref>
        </x14:dataValidation>
        <x14:dataValidation type="list" allowBlank="1" showInputMessage="1" showErrorMessage="1" xr:uid="{12D3B9C7-4F0D-4BEA-938E-3F82440D657C}">
          <x14:formula1>
            <xm:f>'Drop down list '!I2:I4</xm:f>
          </x14:formula1>
          <xm:sqref>N12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2BCFA-6B42-4F04-948C-7FD191C91007}">
  <sheetPr codeName="Sheet1278">
    <tabColor rgb="FFFFFF00"/>
    <pageSetUpPr fitToPage="1"/>
  </sheetPr>
  <dimension ref="A1:AH62"/>
  <sheetViews>
    <sheetView zoomScaleNormal="100" workbookViewId="0">
      <selection activeCell="I32" sqref="I32"/>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211</v>
      </c>
      <c r="R9" s="24"/>
      <c r="S9" s="24"/>
      <c r="T9" s="29" t="str">
        <f t="shared" si="0"/>
        <v>Jalan Tasik</v>
      </c>
      <c r="U9" s="24"/>
      <c r="V9" s="24"/>
      <c r="W9" s="24"/>
      <c r="X9" s="24"/>
      <c r="Y9" s="24"/>
      <c r="Z9" s="24"/>
      <c r="AA9" s="24"/>
      <c r="AB9" s="24"/>
      <c r="AC9" s="29" t="s">
        <v>18</v>
      </c>
      <c r="AD9" s="214" t="str">
        <f>M9</f>
        <v>DN202510-05</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6</v>
      </c>
      <c r="N12" s="145">
        <v>45955</v>
      </c>
      <c r="R12" s="24"/>
      <c r="S12" s="24"/>
      <c r="T12" s="29" t="str">
        <f t="shared" si="0"/>
        <v>East Malaysia</v>
      </c>
      <c r="U12" s="24"/>
      <c r="V12" s="24"/>
      <c r="W12" s="24"/>
      <c r="X12" s="24"/>
      <c r="Y12" s="24"/>
      <c r="Z12" s="24"/>
      <c r="AA12" s="24"/>
      <c r="AB12" s="24"/>
      <c r="AC12" s="147" t="s">
        <v>19</v>
      </c>
      <c r="AD12" s="30">
        <f>M12</f>
        <v>6</v>
      </c>
      <c r="AE12" s="146">
        <f>N12</f>
        <v>45955</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205</v>
      </c>
      <c r="D16" s="12"/>
      <c r="E16" s="12"/>
      <c r="F16" s="12"/>
      <c r="G16" s="12"/>
      <c r="H16" s="12"/>
      <c r="I16" s="12"/>
      <c r="J16" s="12"/>
      <c r="K16" s="12"/>
      <c r="L16" s="12"/>
      <c r="M16" s="12"/>
      <c r="N16" s="12"/>
      <c r="O16" s="12"/>
      <c r="P16" s="128"/>
      <c r="R16" s="35"/>
      <c r="S16" s="24"/>
      <c r="T16" s="29" t="str">
        <f t="shared" ref="T16:T24" si="1">C16</f>
        <v>Your Invoice No. 13007</v>
      </c>
      <c r="U16" s="29"/>
      <c r="V16" s="29"/>
      <c r="W16" s="29"/>
      <c r="X16" s="29"/>
      <c r="Y16" s="29"/>
      <c r="Z16" s="29"/>
      <c r="AA16" s="29"/>
      <c r="AB16" s="29"/>
      <c r="AC16" s="29"/>
      <c r="AD16" s="29"/>
      <c r="AE16" s="29"/>
      <c r="AF16" s="29"/>
      <c r="AG16" s="36"/>
      <c r="AH16" s="26"/>
    </row>
    <row r="17" spans="1:34" ht="12.75" customHeight="1" x14ac:dyDescent="0.2">
      <c r="A17" s="10"/>
      <c r="C17" s="213" t="s">
        <v>8</v>
      </c>
      <c r="D17" s="216"/>
      <c r="E17" s="216"/>
      <c r="F17" s="216"/>
      <c r="G17" s="216"/>
      <c r="I17" s="136" t="s">
        <v>203</v>
      </c>
      <c r="L17" s="12"/>
      <c r="M17" s="12"/>
      <c r="N17" s="12"/>
      <c r="O17" s="12"/>
      <c r="P17" s="128"/>
      <c r="R17" s="35"/>
      <c r="S17" s="24"/>
      <c r="T17" s="214" t="str">
        <f t="shared" si="1"/>
        <v>New Continent Enterprises Pte Ltd</v>
      </c>
      <c r="U17" s="214"/>
      <c r="V17" s="214"/>
      <c r="W17" s="214"/>
      <c r="X17" s="214"/>
      <c r="Z17" s="12" t="str">
        <f>I17</f>
        <v>S/I No. 78066</v>
      </c>
      <c r="AB17" s="24"/>
      <c r="AC17" s="29"/>
      <c r="AD17" s="29"/>
      <c r="AE17" s="29"/>
      <c r="AF17" s="29"/>
      <c r="AG17" s="36"/>
      <c r="AH17" s="26"/>
    </row>
    <row r="18" spans="1:34" ht="12.75" customHeight="1" x14ac:dyDescent="0.2">
      <c r="A18" s="10"/>
      <c r="C18" s="12">
        <v>160</v>
      </c>
      <c r="D18" s="216" t="s">
        <v>5</v>
      </c>
      <c r="E18" s="216"/>
      <c r="F18" s="216"/>
      <c r="G18" s="216"/>
      <c r="H18" s="216"/>
      <c r="I18" s="125">
        <f>C18/16*20.16</f>
        <v>201.6</v>
      </c>
      <c r="J18" s="12" t="s">
        <v>36</v>
      </c>
      <c r="K18" s="144"/>
      <c r="L18" s="144" t="s">
        <v>6</v>
      </c>
      <c r="M18" s="56"/>
      <c r="N18" s="12"/>
      <c r="O18" s="12"/>
      <c r="P18" s="128"/>
      <c r="R18" s="35"/>
      <c r="S18" s="24"/>
      <c r="T18" s="29">
        <f>C18</f>
        <v>160</v>
      </c>
      <c r="U18" s="29" t="str">
        <f>D18</f>
        <v>Shrinkwrapped Plastic Pallets Base</v>
      </c>
      <c r="V18" s="29"/>
      <c r="W18" s="29"/>
      <c r="Z18" s="126">
        <f>I18</f>
        <v>201.6</v>
      </c>
      <c r="AA18" s="12" t="s">
        <v>37</v>
      </c>
      <c r="AB18" s="12"/>
      <c r="AC18" s="216" t="str">
        <f>L18</f>
        <v>SMR 20 Rubber</v>
      </c>
      <c r="AD18" s="216"/>
      <c r="AE18" s="216"/>
      <c r="AF18" s="29"/>
      <c r="AG18" s="36"/>
      <c r="AH18" s="26"/>
    </row>
    <row r="19" spans="1:34" ht="12.75" customHeight="1" x14ac:dyDescent="0.2">
      <c r="A19" s="10"/>
      <c r="C19" s="213" t="s">
        <v>71</v>
      </c>
      <c r="D19" s="216"/>
      <c r="E19" s="216"/>
      <c r="F19" s="216"/>
      <c r="G19" s="136" t="s">
        <v>200</v>
      </c>
      <c r="H19" s="12"/>
      <c r="I19" s="12"/>
      <c r="J19" s="12">
        <v>24</v>
      </c>
      <c r="K19" s="211">
        <v>45925</v>
      </c>
      <c r="L19" s="211"/>
      <c r="M19" s="57" t="s">
        <v>213</v>
      </c>
      <c r="N19" s="12"/>
      <c r="O19" s="12"/>
      <c r="P19" s="128"/>
      <c r="R19" s="35"/>
      <c r="S19" s="24"/>
      <c r="T19" s="147" t="str">
        <f>C19</f>
        <v>Ex Mare I</v>
      </c>
      <c r="U19" s="147"/>
      <c r="V19" s="134"/>
      <c r="W19" s="134"/>
      <c r="X19" s="29" t="str">
        <f>G19</f>
        <v>Voy 2507W    Arrd</v>
      </c>
      <c r="Y19" s="29"/>
      <c r="Z19" s="29"/>
      <c r="AA19" s="29">
        <f>J19</f>
        <v>24</v>
      </c>
      <c r="AB19" s="212">
        <f>K19</f>
        <v>45925</v>
      </c>
      <c r="AC19" s="212"/>
      <c r="AD19" s="29" t="str">
        <f>M19</f>
        <v>(97 units)</v>
      </c>
      <c r="AE19" s="29"/>
      <c r="AF19" s="29"/>
      <c r="AG19" s="36"/>
      <c r="AH19" s="26"/>
    </row>
    <row r="20" spans="1:34" ht="12.75" customHeight="1" x14ac:dyDescent="0.2">
      <c r="A20" s="10"/>
      <c r="C20" s="213" t="s">
        <v>136</v>
      </c>
      <c r="D20" s="213"/>
      <c r="E20" s="213"/>
      <c r="F20" s="213"/>
      <c r="G20" s="136" t="s">
        <v>208</v>
      </c>
      <c r="H20" s="12"/>
      <c r="I20" s="12"/>
      <c r="J20" s="12">
        <v>2</v>
      </c>
      <c r="K20" s="211">
        <v>45955</v>
      </c>
      <c r="L20" s="211"/>
      <c r="M20" s="12" t="s">
        <v>212</v>
      </c>
      <c r="N20" s="12"/>
      <c r="O20" s="12"/>
      <c r="P20" s="128"/>
      <c r="R20" s="35"/>
      <c r="S20" s="24"/>
      <c r="T20" s="147" t="str">
        <f>C20</f>
        <v>Ex Pacific Star</v>
      </c>
      <c r="U20" s="147"/>
      <c r="V20" s="134"/>
      <c r="W20" s="134"/>
      <c r="X20" s="29" t="str">
        <f>G20</f>
        <v>Voy 2508W    Arrd</v>
      </c>
      <c r="Y20" s="29"/>
      <c r="Z20" s="29"/>
      <c r="AA20" s="29">
        <f>J20</f>
        <v>2</v>
      </c>
      <c r="AB20" s="212">
        <f>K20</f>
        <v>45955</v>
      </c>
      <c r="AC20" s="212"/>
      <c r="AD20" s="29" t="str">
        <f>M20</f>
        <v>(63 units)</v>
      </c>
      <c r="AE20" s="29"/>
      <c r="AF20" s="29"/>
      <c r="AG20" s="36"/>
      <c r="AH20" s="26"/>
    </row>
    <row r="21" spans="1:34" ht="12.75" customHeight="1" x14ac:dyDescent="0.2">
      <c r="A21" s="10"/>
      <c r="C21" s="136" t="s">
        <v>214</v>
      </c>
      <c r="D21" s="12"/>
      <c r="E21" s="12"/>
      <c r="F21" s="12"/>
      <c r="G21" s="12"/>
      <c r="H21" s="144"/>
      <c r="I21" s="153"/>
      <c r="J21" s="12"/>
      <c r="K21" s="2" t="s">
        <v>215</v>
      </c>
      <c r="M21" s="12"/>
      <c r="N21" s="12"/>
      <c r="O21" s="12"/>
      <c r="P21" s="128"/>
      <c r="R21" s="35"/>
      <c r="S21" s="24"/>
      <c r="T21" s="29" t="str">
        <f>C21</f>
        <v>B/L No. JMAR2507W-BKI10 &amp; JPST2508W-BKI19</v>
      </c>
      <c r="U21" s="29"/>
      <c r="V21" s="29"/>
      <c r="W21" s="29"/>
      <c r="X21" s="29"/>
      <c r="Z21" s="124"/>
      <c r="AA21" s="29"/>
      <c r="AB21" s="24" t="str">
        <f>K21</f>
        <v>(174/25 &amp; 174A/25 Tenom)</v>
      </c>
      <c r="AC21" s="29"/>
      <c r="AD21" s="29"/>
      <c r="AE21" s="29"/>
      <c r="AF21" s="29"/>
      <c r="AG21" s="36"/>
      <c r="AH21" s="26"/>
    </row>
    <row r="22" spans="1:34" ht="12.75" customHeight="1" x14ac:dyDescent="0.2">
      <c r="A22" s="10"/>
      <c r="C22" s="136" t="s">
        <v>204</v>
      </c>
      <c r="D22" s="12"/>
      <c r="E22" s="12"/>
      <c r="F22" s="12"/>
      <c r="G22" s="12"/>
      <c r="H22" s="12"/>
      <c r="I22" s="12"/>
      <c r="J22" s="12"/>
      <c r="K22" s="12"/>
      <c r="L22" s="12"/>
      <c r="M22" s="12"/>
      <c r="N22" s="12"/>
      <c r="O22" s="12"/>
      <c r="P22" s="128"/>
      <c r="R22" s="35"/>
      <c r="S22" s="24"/>
      <c r="T22" s="29" t="str">
        <f t="shared" si="1"/>
        <v>Shipped per OOCL California Voy 166N</v>
      </c>
      <c r="U22" s="29"/>
      <c r="V22" s="29"/>
      <c r="W22" s="29"/>
      <c r="X22" s="29"/>
      <c r="Y22" s="29"/>
      <c r="Z22" s="29"/>
      <c r="AA22" s="29"/>
      <c r="AB22" s="29"/>
      <c r="AC22" s="29"/>
      <c r="AD22" s="29"/>
      <c r="AE22" s="29"/>
      <c r="AF22" s="29"/>
      <c r="AG22" s="36"/>
      <c r="AH22" s="26"/>
    </row>
    <row r="23" spans="1:34" ht="12.75" customHeight="1" x14ac:dyDescent="0.2">
      <c r="A23" s="10"/>
      <c r="C23" s="213" t="s">
        <v>13</v>
      </c>
      <c r="D23" s="213"/>
      <c r="E23" s="213"/>
      <c r="F23" s="213"/>
      <c r="G23" s="12"/>
      <c r="H23" s="12"/>
      <c r="I23" s="12"/>
      <c r="J23" s="12"/>
      <c r="K23" s="12"/>
      <c r="L23" s="12"/>
      <c r="M23" s="12"/>
      <c r="N23" s="12"/>
      <c r="O23" s="12"/>
      <c r="P23" s="128"/>
      <c r="R23" s="35"/>
      <c r="S23" s="24"/>
      <c r="T23" s="29" t="str">
        <f t="shared" si="1"/>
        <v>To Qingdao, China</v>
      </c>
      <c r="U23" s="29"/>
      <c r="V23" s="29"/>
      <c r="W23" s="29"/>
      <c r="X23" s="29"/>
      <c r="Y23" s="29"/>
      <c r="Z23" s="29"/>
      <c r="AA23" s="29"/>
      <c r="AB23" s="29"/>
      <c r="AC23" s="29"/>
      <c r="AD23" s="29"/>
      <c r="AE23" s="29"/>
      <c r="AF23" s="29"/>
      <c r="AG23" s="36"/>
      <c r="AH23" s="26"/>
    </row>
    <row r="24" spans="1:34" ht="12.75" customHeight="1" x14ac:dyDescent="0.2">
      <c r="A24" s="10"/>
      <c r="C24" s="12" t="s">
        <v>38</v>
      </c>
      <c r="D24" s="12"/>
      <c r="E24" s="12">
        <v>9</v>
      </c>
      <c r="F24" s="211">
        <v>45955</v>
      </c>
      <c r="G24" s="211"/>
      <c r="H24" s="12"/>
      <c r="I24" s="12"/>
      <c r="J24" s="12"/>
      <c r="K24" s="12"/>
      <c r="L24" s="12"/>
      <c r="M24" s="12"/>
      <c r="N24" s="12"/>
      <c r="O24" s="12"/>
      <c r="P24" s="128"/>
      <c r="R24" s="35"/>
      <c r="S24" s="24"/>
      <c r="T24" s="29" t="str">
        <f t="shared" si="1"/>
        <v>B/L dated</v>
      </c>
      <c r="U24" s="29"/>
      <c r="V24" s="29">
        <f>E24</f>
        <v>9</v>
      </c>
      <c r="W24" s="212">
        <f>F24</f>
        <v>45955</v>
      </c>
      <c r="X24" s="212"/>
      <c r="Y24" s="29"/>
      <c r="Z24" s="29"/>
      <c r="AA24" s="29"/>
      <c r="AB24" s="29"/>
      <c r="AC24" s="29"/>
      <c r="AD24" s="29"/>
      <c r="AE24" s="29"/>
      <c r="AF24" s="29"/>
      <c r="AG24" s="36"/>
      <c r="AH24" s="26"/>
    </row>
    <row r="25" spans="1:34" ht="10.15" customHeight="1" x14ac:dyDescent="0.2">
      <c r="A25" s="10"/>
      <c r="C25" s="13"/>
      <c r="D25" s="4"/>
      <c r="E25" s="13"/>
      <c r="F25" s="13"/>
      <c r="G25" s="13"/>
      <c r="H25" s="13"/>
      <c r="I25" s="13"/>
      <c r="J25" s="13"/>
      <c r="K25" s="13"/>
      <c r="L25" s="13"/>
      <c r="M25" s="13"/>
      <c r="N25" s="13"/>
      <c r="O25" s="12"/>
      <c r="P25" s="128"/>
      <c r="R25" s="35"/>
      <c r="S25" s="24"/>
      <c r="T25" s="37"/>
      <c r="U25" s="38"/>
      <c r="V25" s="37"/>
      <c r="W25" s="37"/>
      <c r="X25" s="37"/>
      <c r="Y25" s="37"/>
      <c r="Z25" s="37"/>
      <c r="AA25" s="37"/>
      <c r="AB25" s="37"/>
      <c r="AC25" s="37"/>
      <c r="AD25" s="37"/>
      <c r="AE25" s="37"/>
      <c r="AF25" s="29"/>
      <c r="AG25" s="36"/>
      <c r="AH25" s="26"/>
    </row>
    <row r="26" spans="1:34" x14ac:dyDescent="0.2">
      <c r="A26" s="10"/>
      <c r="C26" s="12"/>
      <c r="E26" s="12"/>
      <c r="F26" s="12"/>
      <c r="G26" s="12"/>
      <c r="H26" s="12"/>
      <c r="I26" s="12"/>
      <c r="J26" s="12"/>
      <c r="K26" s="12"/>
      <c r="L26" s="12"/>
      <c r="M26" s="12"/>
      <c r="N26" s="12"/>
      <c r="O26" s="12"/>
      <c r="P26" s="128"/>
      <c r="R26" s="35"/>
      <c r="S26" s="24"/>
      <c r="T26" s="29"/>
      <c r="U26" s="24"/>
      <c r="V26" s="29"/>
      <c r="W26" s="29"/>
      <c r="X26" s="29"/>
      <c r="Y26" s="29"/>
      <c r="Z26" s="29"/>
      <c r="AA26" s="29"/>
      <c r="AB26" s="29"/>
      <c r="AC26" s="29"/>
      <c r="AD26" s="29"/>
      <c r="AE26" s="29"/>
      <c r="AF26" s="29"/>
      <c r="AG26" s="36"/>
      <c r="AH26" s="26"/>
    </row>
    <row r="27" spans="1:34" x14ac:dyDescent="0.2">
      <c r="A27" s="10"/>
      <c r="C27" s="12" t="s">
        <v>39</v>
      </c>
      <c r="E27" s="12"/>
      <c r="F27" s="12"/>
      <c r="G27" s="12"/>
      <c r="H27" s="12"/>
      <c r="I27" s="57" t="s">
        <v>40</v>
      </c>
      <c r="J27" s="232">
        <v>58.5</v>
      </c>
      <c r="K27" s="2" t="s">
        <v>41</v>
      </c>
      <c r="L27" s="12"/>
      <c r="M27" s="12" t="s">
        <v>20</v>
      </c>
      <c r="N27" s="14">
        <f>I18*J27</f>
        <v>11793.6</v>
      </c>
      <c r="O27" s="14"/>
      <c r="P27" s="128"/>
      <c r="R27" s="35"/>
      <c r="S27" s="24"/>
      <c r="T27" s="29" t="str">
        <f>C27</f>
        <v>Transhipment Charge</v>
      </c>
      <c r="U27" s="24"/>
      <c r="V27" s="29"/>
      <c r="W27" s="29"/>
      <c r="X27" s="29"/>
      <c r="Y27" s="29"/>
      <c r="Z27" s="58" t="s">
        <v>40</v>
      </c>
      <c r="AA27" s="59">
        <f>J27</f>
        <v>58.5</v>
      </c>
      <c r="AB27" s="2" t="s">
        <v>41</v>
      </c>
      <c r="AC27" s="29"/>
      <c r="AD27" s="29" t="s">
        <v>20</v>
      </c>
      <c r="AE27" s="39">
        <f>N27</f>
        <v>11793.6</v>
      </c>
      <c r="AF27" s="39"/>
      <c r="AG27" s="40"/>
      <c r="AH27" s="26"/>
    </row>
    <row r="28" spans="1:34" x14ac:dyDescent="0.2">
      <c r="A28" s="10"/>
      <c r="C28" s="12"/>
      <c r="E28" s="12"/>
      <c r="F28" s="12"/>
      <c r="G28" s="12"/>
      <c r="H28" s="12"/>
      <c r="I28" s="57"/>
      <c r="J28" s="60"/>
      <c r="L28" s="12"/>
      <c r="M28" s="12"/>
      <c r="N28" s="14"/>
      <c r="O28" s="14"/>
      <c r="P28" s="128"/>
      <c r="R28" s="35"/>
      <c r="S28" s="24"/>
      <c r="T28" s="29"/>
      <c r="U28" s="24"/>
      <c r="V28" s="29"/>
      <c r="W28" s="29"/>
      <c r="X28" s="29"/>
      <c r="Y28" s="29"/>
      <c r="Z28" s="58"/>
      <c r="AA28" s="59"/>
      <c r="AB28" s="2"/>
      <c r="AC28" s="29"/>
      <c r="AD28" s="29"/>
      <c r="AE28" s="39"/>
      <c r="AF28" s="39"/>
      <c r="AG28" s="40"/>
      <c r="AH28" s="26"/>
    </row>
    <row r="29" spans="1:34" x14ac:dyDescent="0.2">
      <c r="A29" s="10"/>
      <c r="C29" s="12"/>
      <c r="E29" s="12"/>
      <c r="F29" s="12"/>
      <c r="G29" s="12"/>
      <c r="H29" s="12"/>
      <c r="I29" s="12"/>
      <c r="L29" s="12"/>
      <c r="M29" s="12"/>
      <c r="N29" s="14"/>
      <c r="O29" s="14"/>
      <c r="P29" s="128"/>
      <c r="R29" s="35"/>
      <c r="S29" s="24"/>
      <c r="T29" s="29"/>
      <c r="U29" s="24"/>
      <c r="V29" s="29"/>
      <c r="W29" s="29"/>
      <c r="X29" s="29"/>
      <c r="Y29" s="29"/>
      <c r="Z29" s="29"/>
      <c r="AA29" s="24"/>
      <c r="AB29" s="24"/>
      <c r="AC29" s="29"/>
      <c r="AD29" s="29"/>
      <c r="AE29" s="39"/>
      <c r="AF29" s="39"/>
      <c r="AG29" s="40"/>
      <c r="AH29" s="26"/>
    </row>
    <row r="30" spans="1:34" x14ac:dyDescent="0.2">
      <c r="A30" s="10"/>
      <c r="D30" s="12"/>
      <c r="E30" s="12"/>
      <c r="F30" s="12"/>
      <c r="G30" s="12"/>
      <c r="H30" s="12"/>
      <c r="I30" s="12"/>
      <c r="J30" s="12"/>
      <c r="K30" s="12"/>
      <c r="L30" s="12"/>
      <c r="M30" s="13"/>
      <c r="N30" s="15"/>
      <c r="O30" s="14"/>
      <c r="P30" s="128"/>
      <c r="R30" s="35"/>
      <c r="S30" s="24"/>
      <c r="T30" s="24"/>
      <c r="U30" s="29"/>
      <c r="V30" s="29"/>
      <c r="W30" s="29"/>
      <c r="X30" s="29"/>
      <c r="Y30" s="29"/>
      <c r="Z30" s="29"/>
      <c r="AA30" s="29"/>
      <c r="AB30" s="29"/>
      <c r="AC30" s="29"/>
      <c r="AD30" s="37"/>
      <c r="AE30" s="41"/>
      <c r="AF30" s="39"/>
      <c r="AG30" s="40"/>
      <c r="AH30" s="26"/>
    </row>
    <row r="31" spans="1:34" ht="10.15" customHeight="1" x14ac:dyDescent="0.2">
      <c r="A31" s="10"/>
      <c r="D31" s="12"/>
      <c r="E31" s="12"/>
      <c r="F31" s="12"/>
      <c r="G31" s="12"/>
      <c r="H31" s="12"/>
      <c r="I31" s="12"/>
      <c r="J31" s="12"/>
      <c r="K31" s="12"/>
      <c r="L31" s="12"/>
      <c r="M31" s="12"/>
      <c r="N31" s="14"/>
      <c r="O31" s="14"/>
      <c r="P31" s="128"/>
      <c r="R31" s="35"/>
      <c r="S31" s="24"/>
      <c r="T31" s="24"/>
      <c r="U31" s="29"/>
      <c r="V31" s="29"/>
      <c r="W31" s="29"/>
      <c r="X31" s="29"/>
      <c r="Y31" s="29"/>
      <c r="Z31" s="29"/>
      <c r="AA31" s="29"/>
      <c r="AB31" s="29"/>
      <c r="AC31" s="29"/>
      <c r="AD31" s="29"/>
      <c r="AE31" s="39"/>
      <c r="AF31" s="39"/>
      <c r="AG31" s="40"/>
      <c r="AH31" s="26"/>
    </row>
    <row r="32" spans="1:34" x14ac:dyDescent="0.2">
      <c r="A32" s="10"/>
      <c r="D32" s="12"/>
      <c r="E32" s="12"/>
      <c r="F32" s="12"/>
      <c r="G32" s="12"/>
      <c r="H32" s="12"/>
      <c r="I32" s="12"/>
      <c r="J32" s="12"/>
      <c r="K32" s="12"/>
      <c r="L32" s="12"/>
      <c r="M32" s="12" t="s">
        <v>20</v>
      </c>
      <c r="N32" s="14">
        <f>SUM(N27:N29)</f>
        <v>11793.6</v>
      </c>
      <c r="O32" s="14"/>
      <c r="P32" s="128"/>
      <c r="R32" s="35"/>
      <c r="S32" s="24"/>
      <c r="T32" s="24"/>
      <c r="U32" s="29"/>
      <c r="V32" s="29"/>
      <c r="W32" s="29"/>
      <c r="X32" s="29"/>
      <c r="Y32" s="29"/>
      <c r="Z32" s="29"/>
      <c r="AA32" s="29"/>
      <c r="AB32" s="29"/>
      <c r="AC32" s="29"/>
      <c r="AD32" s="29" t="s">
        <v>20</v>
      </c>
      <c r="AE32" s="39">
        <f>SUM(AE27:AE29)</f>
        <v>11793.6</v>
      </c>
      <c r="AF32" s="39"/>
      <c r="AG32" s="40"/>
      <c r="AH32" s="26"/>
    </row>
    <row r="33" spans="1:34" ht="10.15" customHeight="1" thickBot="1" x14ac:dyDescent="0.25">
      <c r="A33" s="10"/>
      <c r="D33" s="12"/>
      <c r="E33" s="12"/>
      <c r="F33" s="12"/>
      <c r="G33" s="12"/>
      <c r="H33" s="12"/>
      <c r="I33" s="12"/>
      <c r="J33" s="12"/>
      <c r="K33" s="12"/>
      <c r="L33" s="12"/>
      <c r="M33" s="16"/>
      <c r="N33" s="16"/>
      <c r="O33" s="12"/>
      <c r="P33" s="128"/>
      <c r="R33" s="35"/>
      <c r="S33" s="24"/>
      <c r="T33" s="24"/>
      <c r="U33" s="29"/>
      <c r="V33" s="29"/>
      <c r="W33" s="29"/>
      <c r="X33" s="29"/>
      <c r="Y33" s="29"/>
      <c r="Z33" s="29"/>
      <c r="AA33" s="29"/>
      <c r="AB33" s="29"/>
      <c r="AC33" s="29"/>
      <c r="AD33" s="42"/>
      <c r="AE33" s="42"/>
      <c r="AF33" s="29"/>
      <c r="AG33" s="36"/>
      <c r="AH33" s="26"/>
    </row>
    <row r="34" spans="1:34" ht="10.15" customHeight="1" thickTop="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ht="12.75" customHeight="1" x14ac:dyDescent="0.2">
      <c r="A35" s="10"/>
      <c r="D35" s="12"/>
      <c r="E35" s="12"/>
      <c r="F35" s="12"/>
      <c r="G35" s="12"/>
      <c r="H35" s="12"/>
      <c r="I35" s="12"/>
      <c r="J35" s="12"/>
      <c r="K35" s="12"/>
      <c r="L35" s="12"/>
      <c r="M35" s="12"/>
      <c r="N35" s="12"/>
      <c r="O35" s="12"/>
      <c r="P35" s="128"/>
      <c r="R35" s="35"/>
      <c r="S35" s="24"/>
      <c r="T35" s="24"/>
      <c r="U35" s="29"/>
      <c r="V35" s="29"/>
      <c r="W35" s="29"/>
      <c r="X35" s="29"/>
      <c r="Y35" s="29"/>
      <c r="Z35" s="29"/>
      <c r="AA35" s="29"/>
      <c r="AB35" s="29"/>
      <c r="AC35" s="29"/>
      <c r="AD35" s="29"/>
      <c r="AE35" s="29"/>
      <c r="AF35" s="29"/>
      <c r="AG35" s="36"/>
      <c r="AH35" s="26"/>
    </row>
    <row r="36" spans="1:34" x14ac:dyDescent="0.2">
      <c r="A36" s="10"/>
      <c r="C36" s="12" t="s">
        <v>21</v>
      </c>
      <c r="E36" s="213" t="s">
        <v>128</v>
      </c>
      <c r="F36" s="213"/>
      <c r="G36" s="213"/>
      <c r="H36" s="213"/>
      <c r="I36" s="213"/>
      <c r="J36" s="213"/>
      <c r="K36" s="213"/>
      <c r="L36" s="213"/>
      <c r="M36" s="213"/>
      <c r="N36" s="213"/>
      <c r="O36" s="213"/>
      <c r="P36" s="128"/>
      <c r="R36" s="35"/>
      <c r="S36" s="24"/>
      <c r="T36" s="29" t="str">
        <f>C36</f>
        <v>Singapore Dollars</v>
      </c>
      <c r="U36" s="24"/>
      <c r="V36" s="214" t="str">
        <f>E36</f>
        <v>Ten Thousand Eight Hundred Eighty Six And Cents Forty only</v>
      </c>
      <c r="W36" s="214"/>
      <c r="X36" s="214"/>
      <c r="Y36" s="214"/>
      <c r="Z36" s="214"/>
      <c r="AA36" s="214"/>
      <c r="AB36" s="214"/>
      <c r="AC36" s="214"/>
      <c r="AD36" s="214"/>
      <c r="AE36" s="214"/>
      <c r="AF36" s="29"/>
      <c r="AG36" s="36"/>
      <c r="AH36" s="26"/>
    </row>
    <row r="37" spans="1:34" ht="12.75" customHeight="1" x14ac:dyDescent="0.2">
      <c r="A37" s="10"/>
      <c r="D37" s="12"/>
      <c r="E37" s="12"/>
      <c r="F37" s="12"/>
      <c r="G37" s="12"/>
      <c r="H37" s="12"/>
      <c r="I37" s="12"/>
      <c r="J37" s="12"/>
      <c r="K37" s="12"/>
      <c r="L37" s="12"/>
      <c r="M37" s="12"/>
      <c r="N37" s="12"/>
      <c r="O37" s="12"/>
      <c r="P37" s="128"/>
      <c r="R37" s="35"/>
      <c r="S37" s="24"/>
      <c r="T37" s="24"/>
      <c r="U37" s="29"/>
      <c r="V37" s="29"/>
      <c r="W37" s="29"/>
      <c r="X37" s="29"/>
      <c r="Y37" s="29"/>
      <c r="Z37" s="29"/>
      <c r="AA37" s="29"/>
      <c r="AB37" s="29"/>
      <c r="AC37" s="29"/>
      <c r="AD37" s="29"/>
      <c r="AE37" s="29"/>
      <c r="AF37" s="29"/>
      <c r="AG37" s="36"/>
      <c r="AH37" s="26"/>
    </row>
    <row r="38" spans="1:34" ht="12.75" customHeight="1" x14ac:dyDescent="0.2">
      <c r="A38" s="10"/>
      <c r="P38" s="128"/>
      <c r="R38" s="35"/>
      <c r="S38" s="24"/>
      <c r="T38" s="24"/>
      <c r="U38" s="24"/>
      <c r="V38" s="24"/>
      <c r="W38" s="24"/>
      <c r="X38" s="24"/>
      <c r="Y38" s="24"/>
      <c r="Z38" s="24"/>
      <c r="AA38" s="24"/>
      <c r="AB38" s="24"/>
      <c r="AC38" s="24"/>
      <c r="AD38" s="24"/>
      <c r="AE38" s="24"/>
      <c r="AF38" s="24"/>
      <c r="AG38" s="35"/>
      <c r="AH38" s="26"/>
    </row>
    <row r="39" spans="1:34" ht="12.75" customHeight="1" x14ac:dyDescent="0.2">
      <c r="R39" s="24"/>
      <c r="S39" s="24"/>
      <c r="T39" s="24"/>
      <c r="U39" s="24"/>
      <c r="V39" s="24"/>
      <c r="W39" s="24"/>
      <c r="X39" s="24"/>
      <c r="Y39" s="24"/>
      <c r="Z39" s="24"/>
      <c r="AA39" s="24"/>
      <c r="AB39" s="24"/>
      <c r="AC39" s="24"/>
      <c r="AD39" s="24"/>
      <c r="AE39" s="24"/>
      <c r="AF39" s="24"/>
      <c r="AG39" s="24"/>
      <c r="AH39" s="26"/>
    </row>
    <row r="40" spans="1:34" ht="12.75" customHeight="1" x14ac:dyDescent="0.2">
      <c r="C40" s="2" t="s">
        <v>42</v>
      </c>
      <c r="R40" s="24"/>
      <c r="S40" s="24"/>
      <c r="T40" s="215" t="str">
        <f>C40</f>
        <v>Payment to be made to DINAMIK SHIPPING PTE LTD by Telegraphic Transfer to our account</v>
      </c>
      <c r="U40" s="215"/>
      <c r="V40" s="215"/>
      <c r="W40" s="215"/>
      <c r="X40" s="215"/>
      <c r="Y40" s="215"/>
      <c r="Z40" s="215"/>
      <c r="AA40" s="215"/>
      <c r="AB40" s="215"/>
      <c r="AC40" s="215"/>
      <c r="AD40" s="215"/>
      <c r="AE40" s="215"/>
      <c r="AF40" s="24"/>
      <c r="AG40" s="24"/>
      <c r="AH40" s="26"/>
    </row>
    <row r="41" spans="1:34" ht="12.75" customHeight="1" x14ac:dyDescent="0.2">
      <c r="C41" s="2" t="s">
        <v>43</v>
      </c>
      <c r="R41" s="24"/>
      <c r="S41" s="24"/>
      <c r="T41" s="215" t="str">
        <f>C41</f>
        <v>No. 651-869620-001 with OCBC Bank (Singapore), MBFC Branch, Swift Code: OCBCSGSG</v>
      </c>
      <c r="U41" s="215"/>
      <c r="V41" s="215"/>
      <c r="W41" s="215"/>
      <c r="X41" s="215"/>
      <c r="Y41" s="215"/>
      <c r="Z41" s="215"/>
      <c r="AA41" s="215"/>
      <c r="AB41" s="215"/>
      <c r="AC41" s="215"/>
      <c r="AD41" s="215"/>
      <c r="AE41" s="215"/>
      <c r="AF41" s="24"/>
      <c r="AG41" s="24"/>
      <c r="AH41" s="26"/>
    </row>
    <row r="42" spans="1:34" ht="12.75" customHeight="1" x14ac:dyDescent="0.2">
      <c r="R42" s="24"/>
      <c r="S42" s="24"/>
      <c r="T42" s="24"/>
      <c r="U42" s="24"/>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43"/>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v>200</v>
      </c>
      <c r="AB55" s="24"/>
      <c r="AC55" s="45" t="s">
        <v>45</v>
      </c>
      <c r="AD55" s="24"/>
      <c r="AE55" s="23">
        <f>SUM(U56:U61)</f>
        <v>3411.5</v>
      </c>
      <c r="AF55" s="24"/>
      <c r="AG55" s="24"/>
      <c r="AH55" s="61"/>
    </row>
    <row r="56" spans="1:34" ht="11.65" customHeight="1" x14ac:dyDescent="0.25">
      <c r="A56" s="9"/>
      <c r="B56" s="9"/>
      <c r="D56" s="9"/>
      <c r="K56" s="9"/>
      <c r="L56" s="9"/>
      <c r="R56" s="24"/>
      <c r="S56" s="24"/>
      <c r="T56" s="48" t="s">
        <v>46</v>
      </c>
      <c r="U56" s="55">
        <f>T18/16*25.9</f>
        <v>259</v>
      </c>
      <c r="V56" s="43"/>
      <c r="W56" s="46"/>
      <c r="X56" s="43"/>
      <c r="Y56" s="43"/>
      <c r="Z56" s="49" t="s">
        <v>47</v>
      </c>
      <c r="AA56" s="22">
        <v>20</v>
      </c>
      <c r="AB56" s="24"/>
      <c r="AC56" s="45" t="s">
        <v>48</v>
      </c>
      <c r="AD56" s="24"/>
      <c r="AE56" s="23">
        <f>SUM(X57:X61)</f>
        <v>2970</v>
      </c>
      <c r="AF56" s="24"/>
      <c r="AG56" s="24"/>
      <c r="AH56" s="61"/>
    </row>
    <row r="57" spans="1:34" ht="11.65" customHeight="1" x14ac:dyDescent="0.25">
      <c r="A57" s="9"/>
      <c r="B57" s="9"/>
      <c r="D57" s="9"/>
      <c r="K57" s="9"/>
      <c r="L57" s="9"/>
      <c r="R57" s="24"/>
      <c r="S57" s="24"/>
      <c r="T57" s="49" t="s">
        <v>49</v>
      </c>
      <c r="U57" s="21">
        <f>T18/16*82</f>
        <v>820</v>
      </c>
      <c r="V57" s="24"/>
      <c r="W57" s="48" t="s">
        <v>134</v>
      </c>
      <c r="X57" s="21">
        <f>T18/16*5</f>
        <v>50</v>
      </c>
      <c r="Y57" s="43"/>
      <c r="Z57" s="49" t="s">
        <v>50</v>
      </c>
      <c r="AA57" s="22">
        <f>T18/16*25</f>
        <v>250</v>
      </c>
      <c r="AB57" s="24"/>
      <c r="AC57" s="45" t="s">
        <v>51</v>
      </c>
      <c r="AD57" s="24"/>
      <c r="AE57" s="23">
        <f>SUM(AA55:AA61)</f>
        <v>790</v>
      </c>
      <c r="AF57" s="24"/>
      <c r="AG57" s="24"/>
      <c r="AH57" s="61"/>
    </row>
    <row r="58" spans="1:34" ht="11.65" customHeight="1" x14ac:dyDescent="0.25">
      <c r="A58" s="9"/>
      <c r="B58" s="9"/>
      <c r="D58" s="9"/>
      <c r="F58" s="9"/>
      <c r="G58" s="9"/>
      <c r="H58" s="9"/>
      <c r="I58" s="9"/>
      <c r="K58" s="9"/>
      <c r="L58" s="9"/>
      <c r="N58" s="20"/>
      <c r="O58" s="9"/>
      <c r="R58" s="24"/>
      <c r="S58" s="24"/>
      <c r="T58" s="49" t="s">
        <v>52</v>
      </c>
      <c r="U58" s="22">
        <f>T18/16*63.25</f>
        <v>632.5</v>
      </c>
      <c r="V58" s="24"/>
      <c r="W58" s="48" t="s">
        <v>53</v>
      </c>
      <c r="X58" s="173">
        <f>T18/16*100</f>
        <v>1000</v>
      </c>
      <c r="Y58" s="43"/>
      <c r="Z58" s="49" t="s">
        <v>54</v>
      </c>
      <c r="AA58" s="22">
        <f>(1.5*16)*(T18/16)</f>
        <v>240</v>
      </c>
      <c r="AB58" s="24"/>
      <c r="AC58" s="50" t="s">
        <v>55</v>
      </c>
      <c r="AD58" s="51"/>
      <c r="AE58" s="22">
        <f>SUM(AE55:AE57)</f>
        <v>7171.5</v>
      </c>
      <c r="AF58" s="24"/>
      <c r="AG58" s="24"/>
      <c r="AH58" s="26"/>
    </row>
    <row r="59" spans="1:34" ht="11.65" customHeight="1" x14ac:dyDescent="0.25">
      <c r="A59" s="9"/>
      <c r="B59" s="9"/>
      <c r="D59" s="9"/>
      <c r="F59" s="9"/>
      <c r="G59" s="9"/>
      <c r="H59" s="9"/>
      <c r="I59" s="9"/>
      <c r="K59" s="9"/>
      <c r="L59" s="9"/>
      <c r="R59" s="24"/>
      <c r="S59" s="24"/>
      <c r="T59" s="54" t="s">
        <v>56</v>
      </c>
      <c r="U59" s="22">
        <f>T18/16*80</f>
        <v>800</v>
      </c>
      <c r="V59" s="24"/>
      <c r="W59" s="49" t="s">
        <v>57</v>
      </c>
      <c r="X59" s="172">
        <f>T18/16*180</f>
        <v>1800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T18/16*50</f>
        <v>500</v>
      </c>
      <c r="V60" s="24"/>
      <c r="W60" s="49" t="s">
        <v>60</v>
      </c>
      <c r="X60" s="22">
        <f>T18/16*12</f>
        <v>120</v>
      </c>
      <c r="Y60" s="52"/>
      <c r="Z60" s="49" t="s">
        <v>61</v>
      </c>
      <c r="AA60" s="22">
        <f>8*(T18/16)</f>
        <v>80</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T18/16*40</f>
        <v>400</v>
      </c>
      <c r="V61" s="24"/>
      <c r="W61" s="49" t="s">
        <v>63</v>
      </c>
      <c r="X61" s="22">
        <v>0</v>
      </c>
      <c r="Y61" s="52"/>
      <c r="Z61" s="49" t="s">
        <v>64</v>
      </c>
      <c r="AA61" s="22">
        <v>0</v>
      </c>
      <c r="AB61" s="24"/>
      <c r="AC61" s="53" t="s">
        <v>65</v>
      </c>
      <c r="AD61" s="38"/>
      <c r="AE61" s="21">
        <f>AE32-AE58</f>
        <v>4622.1000000000004</v>
      </c>
      <c r="AF61" s="24"/>
      <c r="AG61" s="24"/>
      <c r="AH61" s="61"/>
    </row>
    <row r="62" spans="1:34" ht="13.5" x14ac:dyDescent="0.25">
      <c r="A62" s="9"/>
      <c r="B62" s="9"/>
      <c r="C62" s="9"/>
      <c r="D62" s="9"/>
      <c r="G62" s="9"/>
      <c r="H62" s="9"/>
      <c r="I62" s="9"/>
      <c r="J62" s="9"/>
      <c r="K62" s="9"/>
      <c r="L62" s="9"/>
      <c r="M62" s="9"/>
      <c r="N62" s="9"/>
      <c r="O62" s="9"/>
      <c r="P62" s="9"/>
      <c r="Q62" s="9"/>
    </row>
  </sheetData>
  <mergeCells count="21">
    <mergeCell ref="AC7:AE7"/>
    <mergeCell ref="AD9:AE9"/>
    <mergeCell ref="C17:G17"/>
    <mergeCell ref="T17:X17"/>
    <mergeCell ref="D18:H18"/>
    <mergeCell ref="AC18:AE18"/>
    <mergeCell ref="AA48:AE48"/>
    <mergeCell ref="C19:F19"/>
    <mergeCell ref="K19:L19"/>
    <mergeCell ref="AB19:AC19"/>
    <mergeCell ref="C23:F23"/>
    <mergeCell ref="F24:G24"/>
    <mergeCell ref="W24:X24"/>
    <mergeCell ref="E36:O36"/>
    <mergeCell ref="V36:AE36"/>
    <mergeCell ref="T40:AE40"/>
    <mergeCell ref="T41:AE41"/>
    <mergeCell ref="AA44:AE44"/>
    <mergeCell ref="C20:F20"/>
    <mergeCell ref="K20:L20"/>
    <mergeCell ref="AB20:AC20"/>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8">
        <x14:dataValidation type="list" allowBlank="1" showInputMessage="1" showErrorMessage="1" xr:uid="{7A5BF76D-E29E-4FFC-B077-A2B73AB4A496}">
          <x14:formula1>
            <xm:f>'Drop down list '!$B$2:$B$6</xm:f>
          </x14:formula1>
          <xm:sqref>C19:C20 D19:F19</xm:sqref>
        </x14:dataValidation>
        <x14:dataValidation type="list" allowBlank="1" showInputMessage="1" showErrorMessage="1" xr:uid="{07F0EE6F-6CD4-42A7-A2B6-93BAEC84A759}">
          <x14:formula1>
            <xm:f>'Drop down list '!$D$2:$D$3</xm:f>
          </x14:formula1>
          <xm:sqref>D18:H18</xm:sqref>
        </x14:dataValidation>
        <x14:dataValidation type="list" allowBlank="1" showInputMessage="1" showErrorMessage="1" xr:uid="{FA60BFD6-3243-403A-A128-726926672E32}">
          <x14:formula1>
            <xm:f>'Drop down list '!$E$2:$E$4</xm:f>
          </x14:formula1>
          <xm:sqref>L18</xm:sqref>
        </x14:dataValidation>
        <x14:dataValidation type="list" allowBlank="1" showInputMessage="1" showErrorMessage="1" xr:uid="{67F96006-9CCA-41F8-BD6E-4CCB75C4C6F0}">
          <x14:formula1>
            <xm:f>'Drop down list '!$H$2:$H$32</xm:f>
          </x14:formula1>
          <xm:sqref>M12 J19:J20 E24</xm:sqref>
        </x14:dataValidation>
        <x14:dataValidation type="list" allowBlank="1" showInputMessage="1" showErrorMessage="1" xr:uid="{37A08DE7-32EB-46CB-874D-13777AF94A06}">
          <x14:formula1>
            <xm:f>'Drop down list '!$A$2:$A$8</xm:f>
          </x14:formula1>
          <xm:sqref>C17:G17</xm:sqref>
        </x14:dataValidation>
        <x14:dataValidation type="list" allowBlank="1" showInputMessage="1" showErrorMessage="1" xr:uid="{EB419B9D-98BB-4301-B0F4-D44F6CD2E61E}">
          <x14:formula1>
            <xm:f>'Drop down list '!$G$2:$G$36</xm:f>
          </x14:formula1>
          <xm:sqref>C23</xm:sqref>
        </x14:dataValidation>
        <x14:dataValidation type="list" allowBlank="1" showInputMessage="1" showErrorMessage="1" xr:uid="{558E1975-FE5B-4F8A-A233-5F6DFEF3BDCA}">
          <x14:formula1>
            <xm:f>'Drop down list '!$C$2:$C$16</xm:f>
          </x14:formula1>
          <xm:sqref>C18</xm:sqref>
        </x14:dataValidation>
        <x14:dataValidation type="list" allowBlank="1" showInputMessage="1" showErrorMessage="1" xr:uid="{0797C10E-FCA3-4BD3-AE0D-FC8B9421DC7A}">
          <x14:formula1>
            <xm:f>'Drop down list '!$I$2:$I$4</xm:f>
          </x14:formula1>
          <xm:sqref>F24:G24 N12 K20 K19:L19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3595-7055-49A2-A83C-87A29AA9EC87}">
  <sheetPr codeName="Sheet1313">
    <tabColor rgb="FFFFFF00"/>
    <pageSetUpPr fitToPage="1"/>
  </sheetPr>
  <dimension ref="A1:AH62"/>
  <sheetViews>
    <sheetView zoomScaleNormal="100" workbookViewId="0">
      <selection activeCell="C23" sqref="C23"/>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218</v>
      </c>
      <c r="R9" s="24"/>
      <c r="S9" s="24"/>
      <c r="T9" s="29" t="str">
        <f t="shared" si="0"/>
        <v>Jalan Tasik</v>
      </c>
      <c r="U9" s="24"/>
      <c r="V9" s="24"/>
      <c r="W9" s="24"/>
      <c r="X9" s="24"/>
      <c r="Y9" s="24"/>
      <c r="Z9" s="24"/>
      <c r="AA9" s="24"/>
      <c r="AB9" s="24"/>
      <c r="AC9" s="29" t="s">
        <v>18</v>
      </c>
      <c r="AD9" s="214" t="str">
        <f>M9</f>
        <v>DN202511-01</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3</v>
      </c>
      <c r="N12" s="145">
        <v>45986</v>
      </c>
      <c r="R12" s="24"/>
      <c r="S12" s="24"/>
      <c r="T12" s="29" t="str">
        <f t="shared" si="0"/>
        <v>East Malaysia</v>
      </c>
      <c r="U12" s="24"/>
      <c r="V12" s="24"/>
      <c r="W12" s="24"/>
      <c r="X12" s="24"/>
      <c r="Y12" s="24"/>
      <c r="Z12" s="24"/>
      <c r="AA12" s="24"/>
      <c r="AB12" s="24"/>
      <c r="AC12" s="147" t="s">
        <v>19</v>
      </c>
      <c r="AD12" s="30">
        <f>M12</f>
        <v>3</v>
      </c>
      <c r="AE12" s="146">
        <f>N12</f>
        <v>45986</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206</v>
      </c>
      <c r="D16" s="12"/>
      <c r="E16" s="12"/>
      <c r="F16" s="12"/>
      <c r="G16" s="12"/>
      <c r="H16" s="12"/>
      <c r="I16" s="12"/>
      <c r="J16" s="12"/>
      <c r="K16" s="12"/>
      <c r="L16" s="12"/>
      <c r="M16" s="12"/>
      <c r="N16" s="12"/>
      <c r="O16" s="12"/>
      <c r="P16" s="128"/>
      <c r="R16" s="35"/>
      <c r="S16" s="24"/>
      <c r="T16" s="29" t="str">
        <f t="shared" ref="T16:T23" si="1">C16</f>
        <v>Your Invoice No. 13017</v>
      </c>
      <c r="U16" s="29"/>
      <c r="V16" s="29"/>
      <c r="W16" s="29"/>
      <c r="X16" s="29"/>
      <c r="Y16" s="29"/>
      <c r="Z16" s="29"/>
      <c r="AA16" s="29"/>
      <c r="AB16" s="29"/>
      <c r="AC16" s="29"/>
      <c r="AD16" s="29"/>
      <c r="AE16" s="29"/>
      <c r="AF16" s="29"/>
      <c r="AG16" s="36"/>
      <c r="AH16" s="26"/>
    </row>
    <row r="17" spans="1:34" ht="12.75" customHeight="1" x14ac:dyDescent="0.2">
      <c r="A17" s="10"/>
      <c r="C17" s="213" t="s">
        <v>4</v>
      </c>
      <c r="D17" s="216"/>
      <c r="E17" s="216"/>
      <c r="F17" s="216"/>
      <c r="G17" s="216"/>
      <c r="I17" s="136" t="s">
        <v>207</v>
      </c>
      <c r="L17" s="12"/>
      <c r="M17" s="12"/>
      <c r="N17" s="12"/>
      <c r="O17" s="12"/>
      <c r="P17" s="128"/>
      <c r="R17" s="35"/>
      <c r="S17" s="24"/>
      <c r="T17" s="214" t="str">
        <f t="shared" si="1"/>
        <v>Jaya Asri Pte Ltd</v>
      </c>
      <c r="U17" s="214"/>
      <c r="V17" s="214"/>
      <c r="W17" s="214"/>
      <c r="X17" s="214"/>
      <c r="Z17" s="12" t="str">
        <f>I17</f>
        <v>S/I No. S25-7427-JS</v>
      </c>
      <c r="AB17" s="24"/>
      <c r="AC17" s="29"/>
      <c r="AD17" s="29"/>
      <c r="AE17" s="29"/>
      <c r="AF17" s="29"/>
      <c r="AG17" s="36"/>
      <c r="AH17" s="26"/>
    </row>
    <row r="18" spans="1:34" ht="12.75" customHeight="1" x14ac:dyDescent="0.2">
      <c r="A18" s="10"/>
      <c r="C18" s="12">
        <v>160</v>
      </c>
      <c r="D18" s="216" t="s">
        <v>5</v>
      </c>
      <c r="E18" s="216"/>
      <c r="F18" s="216"/>
      <c r="G18" s="216"/>
      <c r="H18" s="216"/>
      <c r="I18" s="125">
        <f>C18/16*20.16</f>
        <v>201.6</v>
      </c>
      <c r="J18" s="12" t="s">
        <v>36</v>
      </c>
      <c r="K18" s="144"/>
      <c r="L18" s="144" t="s">
        <v>6</v>
      </c>
      <c r="M18" s="56"/>
      <c r="N18" s="12"/>
      <c r="O18" s="12"/>
      <c r="P18" s="128"/>
      <c r="R18" s="35"/>
      <c r="S18" s="24"/>
      <c r="T18" s="29">
        <f>C18</f>
        <v>160</v>
      </c>
      <c r="U18" s="29" t="str">
        <f>D18</f>
        <v>Shrinkwrapped Plastic Pallets Base</v>
      </c>
      <c r="V18" s="29"/>
      <c r="W18" s="29"/>
      <c r="Z18" s="126">
        <f>I18</f>
        <v>201.6</v>
      </c>
      <c r="AA18" s="12" t="s">
        <v>37</v>
      </c>
      <c r="AB18" s="12"/>
      <c r="AC18" s="216" t="str">
        <f>L18</f>
        <v>SMR 20 Rubber</v>
      </c>
      <c r="AD18" s="216"/>
      <c r="AE18" s="216"/>
      <c r="AF18" s="29"/>
      <c r="AG18" s="36"/>
      <c r="AH18" s="26"/>
    </row>
    <row r="19" spans="1:34" ht="12.75" customHeight="1" x14ac:dyDescent="0.2">
      <c r="A19" s="10"/>
      <c r="C19" s="213" t="s">
        <v>136</v>
      </c>
      <c r="D19" s="216"/>
      <c r="E19" s="216"/>
      <c r="F19" s="216"/>
      <c r="G19" s="136" t="s">
        <v>208</v>
      </c>
      <c r="H19" s="12"/>
      <c r="I19" s="12"/>
      <c r="J19" s="12">
        <v>2</v>
      </c>
      <c r="K19" s="211">
        <v>45955</v>
      </c>
      <c r="L19" s="211"/>
      <c r="M19" s="12"/>
      <c r="N19" s="12"/>
      <c r="O19" s="12"/>
      <c r="P19" s="128"/>
      <c r="R19" s="35"/>
      <c r="S19" s="24"/>
      <c r="T19" s="147" t="str">
        <f>C19</f>
        <v>Ex Pacific Star</v>
      </c>
      <c r="U19" s="147"/>
      <c r="V19" s="134"/>
      <c r="W19" s="134"/>
      <c r="X19" s="29" t="str">
        <f>G19</f>
        <v>Voy 2508W    Arrd</v>
      </c>
      <c r="Y19" s="29"/>
      <c r="Z19" s="29"/>
      <c r="AA19" s="29">
        <f>J19</f>
        <v>2</v>
      </c>
      <c r="AB19" s="212">
        <f>K19</f>
        <v>45955</v>
      </c>
      <c r="AC19" s="212"/>
      <c r="AD19" s="29"/>
      <c r="AE19" s="29"/>
      <c r="AF19" s="29"/>
      <c r="AG19" s="36"/>
      <c r="AH19" s="26"/>
    </row>
    <row r="20" spans="1:34" ht="12.75" customHeight="1" x14ac:dyDescent="0.2">
      <c r="A20" s="10"/>
      <c r="C20" s="136" t="s">
        <v>209</v>
      </c>
      <c r="D20" s="12"/>
      <c r="E20" s="12"/>
      <c r="F20" s="12"/>
      <c r="G20" s="12"/>
      <c r="H20" s="144"/>
      <c r="I20" s="153" t="s">
        <v>210</v>
      </c>
      <c r="J20" s="12" t="s">
        <v>3</v>
      </c>
      <c r="M20" s="12"/>
      <c r="N20" s="12"/>
      <c r="O20" s="12"/>
      <c r="P20" s="128"/>
      <c r="R20" s="35"/>
      <c r="S20" s="24"/>
      <c r="T20" s="29" t="str">
        <f>C20</f>
        <v>B/L No. JPST2508W-BKI03</v>
      </c>
      <c r="U20" s="29"/>
      <c r="V20" s="29"/>
      <c r="W20" s="29"/>
      <c r="X20" s="29"/>
      <c r="Z20" s="124" t="str">
        <f>I20</f>
        <v>(178/25</v>
      </c>
      <c r="AA20" s="29" t="str">
        <f>J20</f>
        <v>Tuaran)</v>
      </c>
      <c r="AB20" s="24"/>
      <c r="AC20" s="29"/>
      <c r="AD20" s="29"/>
      <c r="AE20" s="29"/>
      <c r="AF20" s="29"/>
      <c r="AG20" s="36"/>
      <c r="AH20" s="26"/>
    </row>
    <row r="21" spans="1:34" ht="12.75" customHeight="1" x14ac:dyDescent="0.2">
      <c r="A21" s="10"/>
      <c r="C21" s="136" t="s">
        <v>204</v>
      </c>
      <c r="D21" s="12"/>
      <c r="E21" s="12"/>
      <c r="F21" s="12"/>
      <c r="G21" s="12"/>
      <c r="H21" s="12"/>
      <c r="I21" s="12"/>
      <c r="J21" s="12"/>
      <c r="K21" s="12"/>
      <c r="L21" s="12"/>
      <c r="M21" s="12"/>
      <c r="N21" s="12"/>
      <c r="O21" s="12"/>
      <c r="P21" s="128"/>
      <c r="R21" s="35"/>
      <c r="S21" s="24"/>
      <c r="T21" s="29" t="str">
        <f t="shared" si="1"/>
        <v>Shipped per OOCL California Voy 166N</v>
      </c>
      <c r="U21" s="29"/>
      <c r="V21" s="29"/>
      <c r="W21" s="29"/>
      <c r="X21" s="29"/>
      <c r="Y21" s="29"/>
      <c r="Z21" s="29"/>
      <c r="AA21" s="29"/>
      <c r="AB21" s="29"/>
      <c r="AC21" s="29"/>
      <c r="AD21" s="29"/>
      <c r="AE21" s="29"/>
      <c r="AF21" s="29"/>
      <c r="AG21" s="36"/>
      <c r="AH21" s="26"/>
    </row>
    <row r="22" spans="1:34" ht="12.75" customHeight="1" x14ac:dyDescent="0.2">
      <c r="A22" s="10"/>
      <c r="C22" s="213" t="s">
        <v>13</v>
      </c>
      <c r="D22" s="213"/>
      <c r="E22" s="213"/>
      <c r="F22" s="213"/>
      <c r="G22" s="12"/>
      <c r="H22" s="12"/>
      <c r="I22" s="12"/>
      <c r="J22" s="12"/>
      <c r="K22" s="12"/>
      <c r="L22" s="12"/>
      <c r="M22" s="12"/>
      <c r="N22" s="12"/>
      <c r="O22" s="12"/>
      <c r="P22" s="128"/>
      <c r="R22" s="35"/>
      <c r="S22" s="24"/>
      <c r="T22" s="29" t="str">
        <f t="shared" si="1"/>
        <v>To Qingdao, China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9</v>
      </c>
      <c r="F23" s="211">
        <v>45955</v>
      </c>
      <c r="G23" s="211"/>
      <c r="H23" s="12"/>
      <c r="I23" s="12"/>
      <c r="J23" s="12"/>
      <c r="K23" s="12"/>
      <c r="L23" s="12"/>
      <c r="M23" s="12"/>
      <c r="N23" s="12"/>
      <c r="O23" s="12"/>
      <c r="P23" s="128"/>
      <c r="R23" s="35"/>
      <c r="S23" s="24"/>
      <c r="T23" s="29" t="str">
        <f t="shared" si="1"/>
        <v>B/L dated</v>
      </c>
      <c r="U23" s="29"/>
      <c r="V23" s="29">
        <f>E23</f>
        <v>9</v>
      </c>
      <c r="W23" s="212">
        <f>F23</f>
        <v>45955</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219</v>
      </c>
      <c r="E26" s="12"/>
      <c r="F26" s="12"/>
      <c r="G26" s="12"/>
      <c r="H26" s="12"/>
      <c r="I26" s="57"/>
      <c r="J26" s="60"/>
      <c r="L26" s="12"/>
      <c r="M26" s="12"/>
      <c r="N26" s="14"/>
      <c r="O26" s="14"/>
      <c r="P26" s="128"/>
      <c r="R26" s="35"/>
      <c r="S26" s="24"/>
      <c r="T26" s="29" t="str">
        <f>C26</f>
        <v>Additional Freight paid on your behalf for 1 x 20' containers for above</v>
      </c>
      <c r="U26" s="24"/>
      <c r="V26" s="29"/>
      <c r="W26" s="29"/>
      <c r="X26" s="29"/>
      <c r="Y26" s="29"/>
      <c r="Z26" s="58"/>
      <c r="AA26" s="59"/>
      <c r="AB26" s="2"/>
      <c r="AC26" s="29"/>
      <c r="AD26" s="12"/>
      <c r="AE26" s="14"/>
      <c r="AF26" s="39"/>
      <c r="AG26" s="40"/>
      <c r="AH26" s="26"/>
    </row>
    <row r="27" spans="1:34" x14ac:dyDescent="0.2">
      <c r="A27" s="10"/>
      <c r="C27" s="12" t="s">
        <v>220</v>
      </c>
      <c r="E27" s="12"/>
      <c r="F27" s="12"/>
      <c r="G27" s="12"/>
      <c r="H27" s="12"/>
      <c r="I27" s="57"/>
      <c r="J27" s="199"/>
      <c r="K27" s="199"/>
      <c r="L27" s="12"/>
      <c r="M27" s="12"/>
      <c r="N27" s="14"/>
      <c r="O27" s="14"/>
      <c r="P27" s="128"/>
      <c r="R27" s="35"/>
      <c r="S27" s="24"/>
      <c r="T27" s="29" t="str">
        <f>C27</f>
        <v>shipment from Singapore to Qingdao per OOCL California Voy 166N</v>
      </c>
      <c r="U27" s="24"/>
      <c r="V27" s="29"/>
      <c r="W27" s="29"/>
      <c r="X27" s="29"/>
      <c r="Y27" s="29"/>
      <c r="Z27" s="29"/>
      <c r="AA27" s="29"/>
      <c r="AB27" s="24"/>
      <c r="AC27" s="29"/>
      <c r="AD27" s="12"/>
      <c r="AE27" s="14"/>
      <c r="AF27" s="39"/>
      <c r="AG27" s="40"/>
      <c r="AH27" s="26"/>
    </row>
    <row r="28" spans="1:34" x14ac:dyDescent="0.2">
      <c r="A28" s="10"/>
      <c r="C28" s="12" t="s">
        <v>221</v>
      </c>
      <c r="E28" s="12"/>
      <c r="F28" s="12"/>
      <c r="G28" s="12"/>
      <c r="H28" s="12"/>
      <c r="I28" s="12"/>
      <c r="L28" s="12"/>
      <c r="M28" s="12" t="s">
        <v>20</v>
      </c>
      <c r="N28" s="14">
        <v>118.8</v>
      </c>
      <c r="O28" s="14"/>
      <c r="P28" s="128"/>
      <c r="R28" s="35"/>
      <c r="S28" s="24"/>
      <c r="T28" s="29" t="str">
        <f>C28</f>
        <v>at USD90.00 per 20' x 1 = USD90.00 at exchange 1.32</v>
      </c>
      <c r="U28" s="24"/>
      <c r="V28" s="29"/>
      <c r="W28" s="29"/>
      <c r="X28" s="29"/>
      <c r="Y28" s="29"/>
      <c r="Z28" s="29"/>
      <c r="AA28" s="24"/>
      <c r="AB28" s="24"/>
      <c r="AC28" s="29"/>
      <c r="AD28" s="12" t="str">
        <f>M28</f>
        <v>S$</v>
      </c>
      <c r="AE28" s="14">
        <f>N28</f>
        <v>118.8</v>
      </c>
      <c r="AF28" s="39"/>
      <c r="AG28" s="40"/>
      <c r="AH28" s="26"/>
    </row>
    <row r="29" spans="1:34" x14ac:dyDescent="0.2">
      <c r="A29" s="10"/>
      <c r="C29" s="2" t="s">
        <v>222</v>
      </c>
      <c r="D29" s="12"/>
      <c r="E29" s="12"/>
      <c r="F29" s="12"/>
      <c r="G29" s="12"/>
      <c r="H29" s="12"/>
      <c r="I29" s="57"/>
      <c r="J29" s="60"/>
      <c r="L29" s="12"/>
      <c r="M29" s="12"/>
      <c r="N29" s="14"/>
      <c r="O29" s="14"/>
      <c r="P29" s="128"/>
      <c r="R29" s="35"/>
      <c r="S29" s="24"/>
      <c r="T29" s="24" t="str">
        <f>C29</f>
        <v>(as per CEG P/L Debit Note No. DN106/2025 attached)</v>
      </c>
      <c r="U29" s="29"/>
      <c r="V29" s="29"/>
      <c r="W29" s="29"/>
      <c r="X29" s="29"/>
      <c r="Y29" s="29"/>
      <c r="Z29" s="29"/>
      <c r="AA29" s="29"/>
      <c r="AB29" s="29"/>
      <c r="AC29" s="29"/>
      <c r="AD29" s="12"/>
      <c r="AE29" s="14"/>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12"/>
      <c r="AE30" s="14"/>
      <c r="AF30" s="39"/>
      <c r="AG30" s="40"/>
      <c r="AH30" s="26"/>
    </row>
    <row r="31" spans="1:34" x14ac:dyDescent="0.2">
      <c r="A31" s="10"/>
      <c r="C31" s="2" t="s">
        <v>223</v>
      </c>
      <c r="D31" s="12"/>
      <c r="E31" s="12"/>
      <c r="F31" s="12"/>
      <c r="G31" s="12"/>
      <c r="H31" s="12"/>
      <c r="I31" s="12"/>
      <c r="J31" s="12"/>
      <c r="K31" s="12"/>
      <c r="L31" s="12"/>
      <c r="M31" s="12" t="s">
        <v>20</v>
      </c>
      <c r="N31" s="14">
        <v>23</v>
      </c>
      <c r="O31" s="14"/>
      <c r="P31" s="128"/>
      <c r="R31" s="35"/>
      <c r="S31" s="24"/>
      <c r="T31" s="24" t="str">
        <f>C31</f>
        <v>1 additional container seal fee paid on your behalf at S$23.00 per seal   x1</v>
      </c>
      <c r="U31" s="29"/>
      <c r="V31" s="29"/>
      <c r="W31" s="29"/>
      <c r="X31" s="29"/>
      <c r="Y31" s="29"/>
      <c r="Z31" s="29"/>
      <c r="AA31" s="29"/>
      <c r="AB31" s="29"/>
      <c r="AC31" s="29"/>
      <c r="AD31" s="12" t="str">
        <f>M31</f>
        <v>S$</v>
      </c>
      <c r="AE31" s="14">
        <f>N31</f>
        <v>23</v>
      </c>
      <c r="AF31" s="39"/>
      <c r="AG31" s="40"/>
      <c r="AH31" s="26"/>
    </row>
    <row r="32" spans="1:34" ht="12.75" customHeight="1" x14ac:dyDescent="0.2">
      <c r="A32" s="10"/>
      <c r="C32" s="2" t="s">
        <v>222</v>
      </c>
      <c r="D32" s="12"/>
      <c r="E32" s="12"/>
      <c r="F32" s="12"/>
      <c r="G32" s="12"/>
      <c r="H32" s="12"/>
      <c r="I32" s="12"/>
      <c r="J32" s="12"/>
      <c r="K32" s="12"/>
      <c r="L32" s="12"/>
      <c r="O32" s="12"/>
      <c r="P32" s="128"/>
      <c r="R32" s="35"/>
      <c r="S32" s="24"/>
      <c r="T32" s="24" t="str">
        <f>C32</f>
        <v>(as per CEG P/L Debit Note No. DN106/2025 attached)</v>
      </c>
      <c r="U32" s="29"/>
      <c r="V32" s="29"/>
      <c r="W32" s="29"/>
      <c r="X32" s="29"/>
      <c r="Y32" s="29"/>
      <c r="Z32" s="29"/>
      <c r="AA32" s="29"/>
      <c r="AB32" s="29"/>
      <c r="AC32" s="29"/>
      <c r="AD32" s="2"/>
      <c r="AE32" s="2"/>
      <c r="AF32" s="29"/>
      <c r="AG32" s="36"/>
      <c r="AH32" s="26"/>
    </row>
    <row r="33" spans="1:34" ht="10.15" customHeight="1" x14ac:dyDescent="0.2">
      <c r="A33" s="10"/>
      <c r="D33" s="12"/>
      <c r="E33" s="12"/>
      <c r="F33" s="12"/>
      <c r="G33" s="12"/>
      <c r="H33" s="12"/>
      <c r="I33" s="12"/>
      <c r="J33" s="12"/>
      <c r="K33" s="12"/>
      <c r="L33" s="12"/>
      <c r="M33" s="200"/>
      <c r="N33" s="201"/>
      <c r="O33" s="12"/>
      <c r="P33" s="128"/>
      <c r="R33" s="35"/>
      <c r="S33" s="24"/>
      <c r="T33" s="24"/>
      <c r="U33" s="29"/>
      <c r="V33" s="29"/>
      <c r="W33" s="29"/>
      <c r="X33" s="29"/>
      <c r="Y33" s="29"/>
      <c r="Z33" s="29"/>
      <c r="AA33" s="29"/>
      <c r="AB33" s="29"/>
      <c r="AC33" s="29"/>
      <c r="AD33" s="200"/>
      <c r="AE33" s="201"/>
      <c r="AF33" s="29"/>
      <c r="AG33" s="36"/>
      <c r="AH33" s="26"/>
    </row>
    <row r="34" spans="1:34" ht="12.75" customHeight="1" thickBot="1" x14ac:dyDescent="0.25">
      <c r="A34" s="10"/>
      <c r="D34" s="12"/>
      <c r="E34" s="12"/>
      <c r="F34" s="12"/>
      <c r="G34" s="12"/>
      <c r="H34" s="12"/>
      <c r="I34" s="12"/>
      <c r="J34" s="12"/>
      <c r="K34" s="12"/>
      <c r="L34" s="12"/>
      <c r="M34" s="16" t="s">
        <v>20</v>
      </c>
      <c r="N34" s="202">
        <f>SUM(N26:N32)</f>
        <v>141.80000000000001</v>
      </c>
      <c r="O34" s="12"/>
      <c r="P34" s="128"/>
      <c r="R34" s="35"/>
      <c r="S34" s="24"/>
      <c r="T34" s="24"/>
      <c r="U34" s="29"/>
      <c r="V34" s="29"/>
      <c r="W34" s="29"/>
      <c r="X34" s="29"/>
      <c r="Y34" s="29"/>
      <c r="Z34" s="29"/>
      <c r="AA34" s="29"/>
      <c r="AB34" s="29"/>
      <c r="AC34" s="29"/>
      <c r="AD34" s="16" t="str">
        <f>M34</f>
        <v>S$</v>
      </c>
      <c r="AE34" s="202">
        <f>N34</f>
        <v>141.80000000000001</v>
      </c>
      <c r="AF34" s="29"/>
      <c r="AG34" s="36"/>
      <c r="AH34" s="26"/>
    </row>
    <row r="35" spans="1:34" ht="13.5" thickTop="1" x14ac:dyDescent="0.2">
      <c r="A35" s="10"/>
      <c r="C35" s="12" t="s">
        <v>21</v>
      </c>
      <c r="E35" s="213" t="s">
        <v>224</v>
      </c>
      <c r="F35" s="213"/>
      <c r="G35" s="213"/>
      <c r="H35" s="213"/>
      <c r="I35" s="213"/>
      <c r="J35" s="213"/>
      <c r="K35" s="213"/>
      <c r="L35" s="213"/>
      <c r="M35" s="213"/>
      <c r="N35" s="213"/>
      <c r="O35" s="213"/>
      <c r="P35" s="128"/>
      <c r="R35" s="35"/>
      <c r="S35" s="24"/>
      <c r="T35" s="29" t="str">
        <f>C35</f>
        <v>Singapore Dollars</v>
      </c>
      <c r="U35" s="24"/>
      <c r="V35" s="214" t="str">
        <f>E35</f>
        <v>One Hundred Forty One and Cents Eighty only</v>
      </c>
      <c r="W35" s="214"/>
      <c r="X35" s="214"/>
      <c r="Y35" s="214"/>
      <c r="Z35" s="214"/>
      <c r="AA35" s="214"/>
      <c r="AB35" s="214"/>
      <c r="AC35" s="214"/>
      <c r="AD35" s="214"/>
      <c r="AE35" s="214"/>
      <c r="AF35" s="29"/>
      <c r="AG35" s="36"/>
      <c r="AH35" s="26"/>
    </row>
    <row r="36" spans="1:34" ht="9.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111" t="s">
        <v>27</v>
      </c>
      <c r="T52" s="65"/>
      <c r="U52" s="112"/>
      <c r="V52" s="66"/>
      <c r="W52" s="66"/>
      <c r="X52" s="66"/>
      <c r="Y52" s="66"/>
      <c r="Z52" s="66"/>
      <c r="AA52" s="66"/>
      <c r="AB52" s="66"/>
      <c r="AC52" s="66"/>
      <c r="AD52" s="66"/>
      <c r="AE52" s="66"/>
      <c r="AF52" s="66"/>
      <c r="AG52" s="66"/>
      <c r="AH52" s="113" t="s">
        <v>28</v>
      </c>
    </row>
    <row r="53" spans="1:34" ht="11.65" customHeight="1" x14ac:dyDescent="0.25">
      <c r="K53" s="9"/>
      <c r="L53" s="9"/>
      <c r="R53" s="43"/>
      <c r="S53" s="112"/>
      <c r="T53" s="66"/>
      <c r="U53" s="112"/>
      <c r="V53" s="66"/>
      <c r="W53" s="103"/>
      <c r="X53" s="103"/>
      <c r="Y53" s="103"/>
      <c r="Z53" s="103"/>
      <c r="AA53" s="103"/>
      <c r="AB53" s="103"/>
      <c r="AC53" s="66"/>
      <c r="AD53" s="114"/>
      <c r="AE53" s="103"/>
      <c r="AF53" s="103"/>
      <c r="AG53" s="103"/>
      <c r="AH53" s="115"/>
    </row>
    <row r="54" spans="1:34" ht="11.65" customHeight="1" x14ac:dyDescent="0.25">
      <c r="K54" s="9"/>
      <c r="L54" s="9"/>
      <c r="R54" s="43"/>
      <c r="S54" s="112"/>
      <c r="T54" s="66"/>
      <c r="U54" s="112"/>
      <c r="V54" s="66"/>
      <c r="W54" s="103"/>
      <c r="X54" s="103"/>
      <c r="Y54" s="103"/>
      <c r="Z54" s="103"/>
      <c r="AA54" s="116"/>
      <c r="AB54" s="117"/>
      <c r="AC54" s="66"/>
      <c r="AD54" s="111"/>
      <c r="AE54" s="66"/>
      <c r="AF54" s="117"/>
      <c r="AG54" s="103"/>
      <c r="AH54" s="118"/>
    </row>
    <row r="55" spans="1:34" ht="11.65" customHeight="1" x14ac:dyDescent="0.25">
      <c r="A55" s="9"/>
      <c r="B55" s="9"/>
      <c r="D55" s="9"/>
      <c r="K55" s="9"/>
      <c r="L55" s="9"/>
      <c r="R55" s="43"/>
      <c r="S55" s="119"/>
      <c r="T55" s="66"/>
      <c r="U55" s="120" t="s">
        <v>29</v>
      </c>
      <c r="V55" s="108"/>
      <c r="W55" s="103"/>
      <c r="X55" s="103"/>
      <c r="Y55" s="103"/>
      <c r="Z55" s="103"/>
      <c r="AA55" s="116"/>
      <c r="AB55" s="117"/>
      <c r="AC55" s="66"/>
      <c r="AD55" s="111"/>
      <c r="AE55" s="66"/>
      <c r="AF55" s="117"/>
      <c r="AG55" s="66"/>
      <c r="AH55" s="118"/>
    </row>
    <row r="56" spans="1:34" ht="11.65" customHeight="1" x14ac:dyDescent="0.25">
      <c r="A56" s="9"/>
      <c r="B56" s="9"/>
      <c r="D56" s="9"/>
      <c r="K56" s="9"/>
      <c r="L56" s="9"/>
      <c r="R56" s="24"/>
      <c r="S56" s="65"/>
      <c r="T56" s="121"/>
      <c r="U56" s="66"/>
      <c r="V56" s="66"/>
      <c r="W56" s="103"/>
      <c r="X56" s="114"/>
      <c r="Y56" s="103"/>
      <c r="Z56" s="103"/>
      <c r="AA56" s="116"/>
      <c r="AB56" s="117"/>
      <c r="AC56" s="66"/>
      <c r="AD56" s="111"/>
      <c r="AE56" s="66"/>
      <c r="AF56" s="117"/>
      <c r="AG56" s="66"/>
      <c r="AH56" s="118"/>
    </row>
    <row r="57" spans="1:34" ht="11.65" customHeight="1" x14ac:dyDescent="0.25">
      <c r="A57" s="9"/>
      <c r="B57" s="9"/>
      <c r="D57" s="9"/>
      <c r="K57" s="9"/>
      <c r="L57" s="9"/>
      <c r="R57" s="24"/>
      <c r="S57" s="66"/>
      <c r="T57" s="66"/>
      <c r="U57" s="116"/>
      <c r="V57" s="117"/>
      <c r="W57" s="66"/>
      <c r="X57" s="66"/>
      <c r="Y57" s="103"/>
      <c r="Z57" s="103"/>
      <c r="AA57" s="116"/>
      <c r="AB57" s="117"/>
      <c r="AC57" s="66"/>
      <c r="AD57" s="111"/>
      <c r="AE57" s="66"/>
      <c r="AF57" s="117"/>
      <c r="AG57" s="66"/>
      <c r="AH57" s="118"/>
    </row>
    <row r="58" spans="1:34" ht="11.65" customHeight="1" x14ac:dyDescent="0.25">
      <c r="A58" s="9"/>
      <c r="B58" s="9"/>
      <c r="D58" s="9"/>
      <c r="F58" s="9"/>
      <c r="G58" s="9"/>
      <c r="H58" s="9"/>
      <c r="I58" s="9"/>
      <c r="K58" s="9"/>
      <c r="L58" s="9"/>
      <c r="N58" s="20"/>
      <c r="O58" s="9"/>
      <c r="R58" s="24"/>
      <c r="S58" s="66"/>
      <c r="T58" s="66"/>
      <c r="U58" s="116"/>
      <c r="V58" s="117"/>
      <c r="W58" s="66"/>
      <c r="X58" s="66"/>
      <c r="Y58" s="103"/>
      <c r="Z58" s="103"/>
      <c r="AA58" s="116"/>
      <c r="AB58" s="117"/>
      <c r="AC58" s="66"/>
      <c r="AD58" s="103"/>
      <c r="AE58" s="103"/>
      <c r="AF58" s="103"/>
      <c r="AG58" s="66"/>
      <c r="AH58" s="68"/>
    </row>
    <row r="59" spans="1:34" ht="11.65" customHeight="1" x14ac:dyDescent="0.25">
      <c r="A59" s="9"/>
      <c r="B59" s="9"/>
      <c r="D59" s="9"/>
      <c r="F59" s="9"/>
      <c r="G59" s="9"/>
      <c r="H59" s="9"/>
      <c r="I59" s="9"/>
      <c r="K59" s="9"/>
      <c r="L59" s="9"/>
      <c r="R59" s="24"/>
      <c r="S59" s="66"/>
      <c r="T59" s="66"/>
      <c r="U59" s="116"/>
      <c r="V59" s="117"/>
      <c r="W59" s="66"/>
      <c r="X59" s="116"/>
      <c r="Y59" s="117"/>
      <c r="Z59" s="123"/>
      <c r="AA59" s="116"/>
      <c r="AB59" s="117"/>
      <c r="AC59" s="66"/>
      <c r="AD59" s="103"/>
      <c r="AE59" s="103"/>
      <c r="AF59" s="103"/>
      <c r="AG59" s="66"/>
      <c r="AH59" s="68"/>
    </row>
    <row r="60" spans="1:34" ht="11.65" customHeight="1" x14ac:dyDescent="0.25">
      <c r="A60" s="9"/>
      <c r="B60" s="9"/>
      <c r="D60" s="9"/>
      <c r="F60" s="9"/>
      <c r="G60" s="9"/>
      <c r="H60" s="9"/>
      <c r="I60" s="9"/>
      <c r="K60" s="9"/>
      <c r="L60" s="9"/>
      <c r="R60" s="24"/>
      <c r="S60" s="66"/>
      <c r="T60" s="66"/>
      <c r="U60" s="116"/>
      <c r="V60" s="117"/>
      <c r="W60" s="66"/>
      <c r="X60" s="116"/>
      <c r="Y60" s="117"/>
      <c r="Z60" s="123"/>
      <c r="AA60" s="116"/>
      <c r="AB60" s="117"/>
      <c r="AC60" s="66"/>
      <c r="AD60" s="103"/>
      <c r="AE60" s="103"/>
      <c r="AF60" s="103"/>
      <c r="AG60" s="66"/>
      <c r="AH60" s="68"/>
    </row>
    <row r="61" spans="1:34" ht="11.65" customHeight="1" x14ac:dyDescent="0.25">
      <c r="A61" s="9"/>
      <c r="B61" s="9"/>
      <c r="D61" s="9"/>
      <c r="F61" s="9"/>
      <c r="G61" s="9"/>
      <c r="H61" s="9"/>
      <c r="I61" s="9"/>
      <c r="K61" s="9"/>
      <c r="L61" s="9"/>
      <c r="R61" s="24"/>
      <c r="S61" s="66"/>
      <c r="T61" s="66"/>
      <c r="U61" s="116"/>
      <c r="V61" s="117"/>
      <c r="W61" s="66"/>
      <c r="X61" s="116"/>
      <c r="Y61" s="117"/>
      <c r="Z61" s="123"/>
      <c r="AA61" s="116"/>
      <c r="AB61" s="117"/>
      <c r="AC61" s="66"/>
      <c r="AD61" s="111"/>
      <c r="AE61" s="66"/>
      <c r="AF61" s="117"/>
      <c r="AG61" s="66"/>
      <c r="AH61" s="118"/>
    </row>
    <row r="62" spans="1:34" ht="13.5" x14ac:dyDescent="0.25">
      <c r="A62" s="9"/>
      <c r="B62" s="9"/>
      <c r="C62" s="9"/>
      <c r="D62" s="9"/>
      <c r="G62" s="9"/>
      <c r="H62" s="9"/>
      <c r="I62" s="9"/>
      <c r="J62" s="9"/>
      <c r="K62" s="9"/>
      <c r="L62" s="9"/>
      <c r="M62" s="9"/>
      <c r="N62" s="9"/>
      <c r="O62" s="9"/>
      <c r="P62" s="9"/>
      <c r="Q62" s="9"/>
    </row>
  </sheetData>
  <mergeCells count="18">
    <mergeCell ref="AC7:AE7"/>
    <mergeCell ref="AD9:AE9"/>
    <mergeCell ref="C17:G17"/>
    <mergeCell ref="T17:X17"/>
    <mergeCell ref="D18:H18"/>
    <mergeCell ref="AC18:AE18"/>
    <mergeCell ref="AA48:AE48"/>
    <mergeCell ref="C19:F19"/>
    <mergeCell ref="K19:L19"/>
    <mergeCell ref="AB19:AC19"/>
    <mergeCell ref="C22:F22"/>
    <mergeCell ref="F23:G23"/>
    <mergeCell ref="W23:X23"/>
    <mergeCell ref="E35:O35"/>
    <mergeCell ref="V35:AE35"/>
    <mergeCell ref="T39:AE39"/>
    <mergeCell ref="T40:AE40"/>
    <mergeCell ref="AA44:AE44"/>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E42D384B-18A4-474E-A945-5BE75A359D7D}">
          <x14:formula1>
            <xm:f>'Drop down list '!$B$2:$B$6</xm:f>
          </x14:formula1>
          <xm:sqref>C19:F19</xm:sqref>
        </x14:dataValidation>
        <x14:dataValidation type="list" allowBlank="1" showInputMessage="1" showErrorMessage="1" xr:uid="{7E94B156-8574-42CD-96E0-A8741422E7B0}">
          <x14:formula1>
            <xm:f>'Drop down list '!$D$2:$D$3</xm:f>
          </x14:formula1>
          <xm:sqref>D18:H18</xm:sqref>
        </x14:dataValidation>
        <x14:dataValidation type="list" allowBlank="1" showInputMessage="1" showErrorMessage="1" xr:uid="{3A7EBFE3-E62D-4718-A9BB-2F5C82EB60BA}">
          <x14:formula1>
            <xm:f>'Drop down list '!$E$2:$E$4</xm:f>
          </x14:formula1>
          <xm:sqref>L18</xm:sqref>
        </x14:dataValidation>
        <x14:dataValidation type="list" allowBlank="1" showInputMessage="1" showErrorMessage="1" xr:uid="{28674EA5-5C3A-4A86-BF2E-3B8496685272}">
          <x14:formula1>
            <xm:f>'Drop down list '!$F$2:$F$4</xm:f>
          </x14:formula1>
          <xm:sqref>J20</xm:sqref>
        </x14:dataValidation>
        <x14:dataValidation type="list" allowBlank="1" showInputMessage="1" showErrorMessage="1" xr:uid="{8F279170-E701-4C74-BA65-A11F4C994827}">
          <x14:formula1>
            <xm:f>'Drop down list '!$H$2:$H$32</xm:f>
          </x14:formula1>
          <xm:sqref>M12 J19 E23</xm:sqref>
        </x14:dataValidation>
        <x14:dataValidation type="list" allowBlank="1" showInputMessage="1" showErrorMessage="1" xr:uid="{59963B97-A466-4EF3-9ECA-AF44C3CD4A0B}">
          <x14:formula1>
            <xm:f>'Drop down list '!$A$2:$A$8</xm:f>
          </x14:formula1>
          <xm:sqref>C17:G17</xm:sqref>
        </x14:dataValidation>
        <x14:dataValidation type="list" allowBlank="1" showInputMessage="1" showErrorMessage="1" xr:uid="{E60E5FCC-C251-4A29-8025-8985703D0D85}">
          <x14:formula1>
            <xm:f>'Drop down list '!$G$2:$G$36</xm:f>
          </x14:formula1>
          <xm:sqref>C22</xm:sqref>
        </x14:dataValidation>
        <x14:dataValidation type="list" allowBlank="1" showInputMessage="1" showErrorMessage="1" xr:uid="{E457DF25-09E8-4F0F-9B71-DB39EF1EC78B}">
          <x14:formula1>
            <xm:f>'Drop down list '!$C$2:$C$16</xm:f>
          </x14:formula1>
          <xm:sqref>C18</xm:sqref>
        </x14:dataValidation>
        <x14:dataValidation type="list" allowBlank="1" showInputMessage="1" showErrorMessage="1" xr:uid="{BEAAA741-4B96-4795-9A9B-46BCB8FE829F}">
          <x14:formula1>
            <xm:f>'Drop down list '!$I$2:$I$4</xm:f>
          </x14:formula1>
          <xm:sqref>K19:L19 N12 F23:G23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9F18B-E48B-494E-AE8D-C0A55258B2DC}">
  <sheetPr codeName="Sheet253">
    <tabColor rgb="FFFFFF00"/>
    <pageSetUpPr fitToPage="1"/>
  </sheetPr>
  <dimension ref="A1:AF63"/>
  <sheetViews>
    <sheetView topLeftCell="A6" zoomScaleNormal="100" workbookViewId="0">
      <selection activeCell="C23" sqref="C23"/>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9"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3"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9"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3" style="65" customWidth="1"/>
    <col min="30" max="30" width="10.7109375" style="65" customWidth="1"/>
    <col min="31" max="31" width="1.7109375" style="65" customWidth="1"/>
    <col min="32" max="32" width="5.7109375" style="65" customWidth="1"/>
    <col min="33" max="256" width="8.8554687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8.8554687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8.8554687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8.8554687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8.8554687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8.8554687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8.8554687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8.8554687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8.8554687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8.8554687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8.8554687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8.8554687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8.8554687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8.8554687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8.8554687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8.8554687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8.8554687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8.8554687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8.8554687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8.8554687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8.8554687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8.8554687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8.8554687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8.8554687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8.8554687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8.8554687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8.8554687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8.8554687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8.8554687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8.8554687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8.8554687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8.8554687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8.8554687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8.8554687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8.8554687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8.8554687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8.8554687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8.8554687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8.8554687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8.8554687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8.8554687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8.8554687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8.8554687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8.8554687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8.8554687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8.8554687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8.8554687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8.8554687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8.8554687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8.8554687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8.8554687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8.8554687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8.8554687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8.8554687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8.8554687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8.8554687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8.8554687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8.8554687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8.8554687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8.8554687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8.8554687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8.8554687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8.8554687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8.8554687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67</v>
      </c>
      <c r="L7" s="72" t="s">
        <v>17</v>
      </c>
      <c r="Q7" s="66"/>
      <c r="R7" s="66"/>
      <c r="S7" s="73" t="str">
        <f>C7</f>
        <v>G. H. Seow Transportation Pte Ltd</v>
      </c>
      <c r="T7" s="66"/>
      <c r="U7" s="66"/>
      <c r="V7" s="66"/>
      <c r="W7" s="66"/>
      <c r="X7" s="66"/>
      <c r="Y7" s="66"/>
      <c r="Z7" s="66"/>
      <c r="AA7" s="66"/>
      <c r="AB7" s="74" t="s">
        <v>17</v>
      </c>
      <c r="AC7" s="66"/>
      <c r="AD7" s="66"/>
      <c r="AE7" s="66"/>
      <c r="AF7" s="68"/>
    </row>
    <row r="8" spans="1:32" x14ac:dyDescent="0.2">
      <c r="C8" s="75" t="s">
        <v>68</v>
      </c>
      <c r="Q8" s="66"/>
      <c r="R8" s="66"/>
      <c r="S8" s="76" t="str">
        <f>C8</f>
        <v>21 Woodlands Close</v>
      </c>
      <c r="T8" s="66"/>
      <c r="U8" s="66"/>
      <c r="V8" s="66"/>
      <c r="W8" s="66"/>
      <c r="X8" s="66"/>
      <c r="Y8" s="66"/>
      <c r="Z8" s="66"/>
      <c r="AA8" s="66"/>
      <c r="AB8" s="66"/>
      <c r="AC8" s="66"/>
      <c r="AD8" s="66"/>
      <c r="AE8" s="66"/>
      <c r="AF8" s="68"/>
    </row>
    <row r="9" spans="1:32" x14ac:dyDescent="0.2">
      <c r="C9" s="75" t="s">
        <v>69</v>
      </c>
      <c r="L9" s="75" t="s">
        <v>18</v>
      </c>
      <c r="M9" s="136" t="s">
        <v>236</v>
      </c>
      <c r="Q9" s="66"/>
      <c r="R9" s="66"/>
      <c r="S9" s="76" t="str">
        <f>C9</f>
        <v>#08-41, Primz Bizhub</v>
      </c>
      <c r="T9" s="66"/>
      <c r="U9" s="66"/>
      <c r="V9" s="66"/>
      <c r="W9" s="66"/>
      <c r="X9" s="66"/>
      <c r="Y9" s="66"/>
      <c r="Z9" s="66"/>
      <c r="AA9" s="66"/>
      <c r="AB9" s="76" t="s">
        <v>18</v>
      </c>
      <c r="AC9" s="76" t="str">
        <f>M9</f>
        <v>DN202512-24</v>
      </c>
      <c r="AD9" s="66"/>
      <c r="AE9" s="66"/>
      <c r="AF9" s="68"/>
    </row>
    <row r="10" spans="1:32" x14ac:dyDescent="0.2">
      <c r="C10" s="75" t="s">
        <v>70</v>
      </c>
      <c r="Q10" s="66"/>
      <c r="R10" s="66"/>
      <c r="S10" s="76" t="str">
        <f>C10</f>
        <v>Singapore 737854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29</v>
      </c>
      <c r="N12" s="145">
        <v>46016</v>
      </c>
      <c r="Q12" s="66"/>
      <c r="R12" s="66"/>
      <c r="S12" s="76"/>
      <c r="T12" s="66"/>
      <c r="U12" s="66"/>
      <c r="V12" s="66"/>
      <c r="W12" s="66"/>
      <c r="X12" s="66"/>
      <c r="Y12" s="66"/>
      <c r="Z12" s="66"/>
      <c r="AA12" s="66"/>
      <c r="AB12" s="140" t="s">
        <v>19</v>
      </c>
      <c r="AC12" s="77">
        <f>M12</f>
        <v>29</v>
      </c>
      <c r="AD12" s="151">
        <f>N12</f>
        <v>46016</v>
      </c>
      <c r="AE12" s="66"/>
      <c r="AF12" s="68"/>
    </row>
    <row r="13" spans="1:32" ht="12.75" customHeight="1" x14ac:dyDescent="0.2">
      <c r="Q13" s="66"/>
      <c r="R13" s="66"/>
      <c r="S13" s="66"/>
      <c r="T13" s="66"/>
      <c r="U13" s="66"/>
      <c r="V13" s="66"/>
      <c r="W13" s="66"/>
      <c r="X13" s="66"/>
      <c r="Y13" s="66"/>
      <c r="Z13" s="66"/>
      <c r="AA13" s="66"/>
      <c r="AB13" s="66"/>
      <c r="AC13" s="66"/>
      <c r="AD13" s="66"/>
      <c r="AE13" s="66"/>
      <c r="AF13" s="68"/>
    </row>
    <row r="14" spans="1:32" ht="12.75"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ht="12.75" customHeight="1" x14ac:dyDescent="0.2">
      <c r="A15" s="82"/>
      <c r="M15" s="83"/>
      <c r="N15" s="83"/>
      <c r="O15" s="84"/>
      <c r="Q15" s="85"/>
      <c r="R15" s="66"/>
      <c r="S15" s="66"/>
      <c r="T15" s="66"/>
      <c r="U15" s="66"/>
      <c r="V15" s="66"/>
      <c r="W15" s="66"/>
      <c r="X15" s="66"/>
      <c r="Y15" s="66"/>
      <c r="Z15" s="66"/>
      <c r="AA15" s="66"/>
      <c r="AB15" s="66"/>
      <c r="AC15" s="86"/>
      <c r="AD15" s="86"/>
      <c r="AE15" s="87"/>
      <c r="AF15" s="68"/>
    </row>
    <row r="16" spans="1:32" ht="12.75" customHeight="1" x14ac:dyDescent="0.2">
      <c r="A16" s="84"/>
      <c r="O16" s="84"/>
      <c r="Q16" s="87"/>
      <c r="R16" s="66"/>
      <c r="S16" s="66"/>
      <c r="T16" s="66"/>
      <c r="U16" s="66"/>
      <c r="V16" s="66"/>
      <c r="W16" s="66"/>
      <c r="X16" s="66"/>
      <c r="Y16" s="66"/>
      <c r="Z16" s="66"/>
      <c r="AA16" s="66"/>
      <c r="AB16" s="66"/>
      <c r="AC16" s="66"/>
      <c r="AD16" s="66"/>
      <c r="AE16" s="87"/>
      <c r="AF16" s="68"/>
    </row>
    <row r="17" spans="1:32" ht="12.75" customHeight="1" x14ac:dyDescent="0.2">
      <c r="A17" s="84"/>
      <c r="O17" s="84"/>
      <c r="Q17" s="87"/>
      <c r="R17" s="66"/>
      <c r="S17" s="66"/>
      <c r="T17" s="66"/>
      <c r="U17" s="66"/>
      <c r="V17" s="66"/>
      <c r="W17" s="66"/>
      <c r="X17" s="66"/>
      <c r="Y17" s="66"/>
      <c r="Z17" s="66"/>
      <c r="AA17" s="66"/>
      <c r="AB17" s="66"/>
      <c r="AC17" s="66"/>
      <c r="AD17" s="66"/>
      <c r="AE17" s="87"/>
      <c r="AF17" s="68"/>
    </row>
    <row r="18" spans="1:32" x14ac:dyDescent="0.2">
      <c r="A18" s="84"/>
      <c r="C18" s="75" t="s">
        <v>135</v>
      </c>
      <c r="E18" s="75"/>
      <c r="F18" s="75"/>
      <c r="G18" s="75"/>
      <c r="H18" s="75"/>
      <c r="I18" s="75"/>
      <c r="L18" s="75"/>
      <c r="M18" s="75"/>
      <c r="N18" s="88"/>
      <c r="O18" s="89"/>
      <c r="Q18" s="87"/>
      <c r="R18" s="66"/>
      <c r="S18" s="76" t="str">
        <f>C18</f>
        <v>Your half share of forklift charges as billed by Jesselton Shipping (2012) Pte Ltd</v>
      </c>
      <c r="T18" s="66"/>
      <c r="U18" s="76"/>
      <c r="V18" s="76"/>
      <c r="W18" s="76"/>
      <c r="X18" s="76"/>
      <c r="Y18" s="76"/>
      <c r="Z18" s="66"/>
      <c r="AA18" s="66"/>
      <c r="AB18" s="76"/>
      <c r="AC18" s="76"/>
      <c r="AD18" s="90"/>
      <c r="AE18" s="91"/>
      <c r="AF18" s="68"/>
    </row>
    <row r="19" spans="1:32" x14ac:dyDescent="0.2">
      <c r="A19" s="84"/>
      <c r="E19" s="75"/>
      <c r="F19" s="75"/>
      <c r="G19" s="75"/>
      <c r="H19" s="75"/>
      <c r="I19" s="75"/>
      <c r="L19" s="75"/>
      <c r="M19" s="75"/>
      <c r="N19" s="88"/>
      <c r="O19" s="89"/>
      <c r="Q19" s="87"/>
      <c r="R19" s="66"/>
      <c r="S19" s="76"/>
      <c r="T19" s="66"/>
      <c r="U19" s="76"/>
      <c r="V19" s="76"/>
      <c r="W19" s="76"/>
      <c r="X19" s="76"/>
      <c r="Y19" s="76"/>
      <c r="Z19" s="76"/>
      <c r="AA19" s="66"/>
      <c r="AB19" s="76"/>
      <c r="AC19" s="76"/>
      <c r="AD19" s="90"/>
      <c r="AE19" s="91"/>
      <c r="AF19" s="68"/>
    </row>
    <row r="20" spans="1:32" x14ac:dyDescent="0.2">
      <c r="A20" s="84"/>
      <c r="C20" s="137" t="s">
        <v>233</v>
      </c>
      <c r="E20" s="75"/>
      <c r="F20" s="75"/>
      <c r="G20" s="75"/>
      <c r="H20" s="225">
        <v>2223.6</v>
      </c>
      <c r="I20" s="226"/>
      <c r="L20" s="75"/>
      <c r="M20" s="75" t="s">
        <v>20</v>
      </c>
      <c r="N20" s="131">
        <f>H20/2</f>
        <v>1111.8</v>
      </c>
      <c r="O20" s="89"/>
      <c r="Q20" s="87"/>
      <c r="R20" s="66"/>
      <c r="S20" s="76" t="str">
        <f>C20</f>
        <v xml:space="preserve">Invoice No. INV2511/008 -  S$ </v>
      </c>
      <c r="T20" s="66"/>
      <c r="U20" s="76"/>
      <c r="V20" s="76"/>
      <c r="W20" s="76"/>
      <c r="X20" s="227">
        <f>H20</f>
        <v>2223.6</v>
      </c>
      <c r="Y20" s="227"/>
      <c r="Z20" s="66"/>
      <c r="AA20" s="66"/>
      <c r="AB20" s="76"/>
      <c r="AC20" s="76" t="s">
        <v>20</v>
      </c>
      <c r="AD20" s="90">
        <f>N20</f>
        <v>1111.8</v>
      </c>
      <c r="AE20" s="91"/>
      <c r="AF20" s="68"/>
    </row>
    <row r="21" spans="1:32" x14ac:dyDescent="0.2">
      <c r="A21" s="84"/>
      <c r="C21" s="152" t="s">
        <v>234</v>
      </c>
      <c r="D21" s="75"/>
      <c r="E21" s="75"/>
      <c r="F21" s="75"/>
      <c r="G21" s="75"/>
      <c r="H21" s="75"/>
      <c r="I21" s="75"/>
      <c r="J21" s="75"/>
      <c r="L21" s="75"/>
      <c r="M21" s="75"/>
      <c r="N21" s="88"/>
      <c r="O21" s="89"/>
      <c r="Q21" s="87"/>
      <c r="R21" s="66"/>
      <c r="S21" s="76" t="str">
        <f>C21</f>
        <v>(Dec 2025)</v>
      </c>
      <c r="T21" s="76"/>
      <c r="U21" s="76"/>
      <c r="V21" s="76"/>
      <c r="W21" s="76"/>
      <c r="X21" s="76"/>
      <c r="Y21" s="76"/>
      <c r="Z21" s="76"/>
      <c r="AA21" s="66"/>
      <c r="AB21" s="76"/>
      <c r="AC21" s="76"/>
      <c r="AD21" s="90"/>
      <c r="AE21" s="91"/>
      <c r="AF21" s="68"/>
    </row>
    <row r="22" spans="1:32" x14ac:dyDescent="0.2">
      <c r="A22" s="84"/>
      <c r="C22" s="152" t="s">
        <v>242</v>
      </c>
      <c r="D22" s="75"/>
      <c r="E22" s="75"/>
      <c r="F22" s="75"/>
      <c r="G22" s="75"/>
      <c r="H22" s="75"/>
      <c r="I22" s="75"/>
      <c r="J22" s="75"/>
      <c r="L22" s="75"/>
      <c r="M22" s="75"/>
      <c r="N22" s="88"/>
      <c r="O22" s="89"/>
      <c r="Q22" s="87"/>
      <c r="R22" s="66"/>
      <c r="S22" s="228"/>
      <c r="T22" s="228"/>
      <c r="U22" s="228"/>
      <c r="V22" s="228"/>
      <c r="W22" s="228"/>
      <c r="X22" s="228"/>
      <c r="Y22" s="228"/>
      <c r="Z22" s="76"/>
      <c r="AA22" s="66"/>
      <c r="AB22" s="76"/>
      <c r="AC22" s="76"/>
      <c r="AD22" s="90"/>
      <c r="AE22" s="91"/>
      <c r="AF22" s="68"/>
    </row>
    <row r="23" spans="1:32" x14ac:dyDescent="0.2">
      <c r="A23" s="84"/>
      <c r="C23" s="152"/>
      <c r="E23" s="75"/>
      <c r="F23" s="75"/>
      <c r="G23" s="75"/>
      <c r="H23" s="75"/>
      <c r="I23" s="75"/>
      <c r="L23" s="75"/>
      <c r="M23" s="75"/>
      <c r="N23" s="88"/>
      <c r="O23" s="89"/>
      <c r="Q23" s="87"/>
      <c r="R23" s="66"/>
      <c r="S23" s="93"/>
      <c r="T23" s="76"/>
      <c r="U23" s="76"/>
      <c r="V23" s="76"/>
      <c r="W23" s="76"/>
      <c r="X23" s="76"/>
      <c r="Y23" s="76"/>
      <c r="Z23" s="76"/>
      <c r="AA23" s="66"/>
      <c r="AB23" s="76"/>
      <c r="AC23" s="76"/>
      <c r="AD23" s="90"/>
      <c r="AE23" s="91"/>
      <c r="AF23" s="68"/>
    </row>
    <row r="24" spans="1:32" x14ac:dyDescent="0.2">
      <c r="A24" s="84"/>
      <c r="C24" s="92"/>
      <c r="D24" s="75"/>
      <c r="E24" s="75"/>
      <c r="F24" s="75"/>
      <c r="G24" s="75"/>
      <c r="H24" s="75"/>
      <c r="I24" s="75"/>
      <c r="J24" s="75"/>
      <c r="L24" s="75"/>
      <c r="M24" s="75"/>
      <c r="N24" s="88"/>
      <c r="O24" s="89"/>
      <c r="Q24" s="87"/>
      <c r="R24" s="66"/>
      <c r="S24" s="93"/>
      <c r="T24" s="76"/>
      <c r="U24" s="76"/>
      <c r="V24" s="76"/>
      <c r="W24" s="76"/>
      <c r="X24" s="76"/>
      <c r="Y24" s="76"/>
      <c r="Z24" s="76"/>
      <c r="AA24" s="66"/>
      <c r="AB24" s="76"/>
      <c r="AC24" s="76"/>
      <c r="AD24" s="90"/>
      <c r="AE24" s="91"/>
      <c r="AF24" s="68"/>
    </row>
    <row r="25" spans="1:32" x14ac:dyDescent="0.2">
      <c r="A25" s="84"/>
      <c r="D25" s="75"/>
      <c r="E25" s="75"/>
      <c r="F25" s="75"/>
      <c r="G25" s="75"/>
      <c r="H25" s="75"/>
      <c r="I25" s="75"/>
      <c r="J25" s="75"/>
      <c r="K25" s="75"/>
      <c r="L25" s="75"/>
      <c r="M25" s="94"/>
      <c r="N25" s="95"/>
      <c r="O25" s="89"/>
      <c r="Q25" s="87"/>
      <c r="R25" s="66"/>
      <c r="S25" s="66"/>
      <c r="T25" s="76"/>
      <c r="U25" s="76"/>
      <c r="V25" s="76"/>
      <c r="W25" s="76"/>
      <c r="X25" s="76"/>
      <c r="Y25" s="76"/>
      <c r="Z25" s="76"/>
      <c r="AA25" s="76"/>
      <c r="AB25" s="76"/>
      <c r="AC25" s="96"/>
      <c r="AD25" s="97"/>
      <c r="AE25" s="91"/>
      <c r="AF25" s="68"/>
    </row>
    <row r="26" spans="1:32" ht="10.15" customHeight="1" x14ac:dyDescent="0.2">
      <c r="A26" s="84"/>
      <c r="D26" s="75"/>
      <c r="E26" s="75"/>
      <c r="F26" s="75"/>
      <c r="G26" s="75"/>
      <c r="H26" s="75"/>
      <c r="I26" s="75"/>
      <c r="J26" s="75"/>
      <c r="K26" s="75"/>
      <c r="L26" s="75"/>
      <c r="M26" s="75"/>
      <c r="N26" s="88"/>
      <c r="O26" s="89"/>
      <c r="Q26" s="87"/>
      <c r="R26" s="66"/>
      <c r="S26" s="66"/>
      <c r="T26" s="76"/>
      <c r="U26" s="76"/>
      <c r="V26" s="76"/>
      <c r="W26" s="76"/>
      <c r="X26" s="76"/>
      <c r="Y26" s="76"/>
      <c r="Z26" s="76"/>
      <c r="AA26" s="76"/>
      <c r="AB26" s="76"/>
      <c r="AC26" s="76"/>
      <c r="AD26" s="90"/>
      <c r="AE26" s="91"/>
      <c r="AF26" s="68"/>
    </row>
    <row r="27" spans="1:32" x14ac:dyDescent="0.2">
      <c r="A27" s="84"/>
      <c r="D27" s="75"/>
      <c r="E27" s="75"/>
      <c r="F27" s="75"/>
      <c r="G27" s="75"/>
      <c r="H27" s="75"/>
      <c r="I27" s="75"/>
      <c r="J27" s="75"/>
      <c r="K27" s="75"/>
      <c r="L27" s="75"/>
      <c r="M27" s="75" t="s">
        <v>20</v>
      </c>
      <c r="N27" s="88">
        <f>SUM(N20:N25)</f>
        <v>1111.8</v>
      </c>
      <c r="O27" s="89"/>
      <c r="Q27" s="87"/>
      <c r="R27" s="66"/>
      <c r="S27" s="66"/>
      <c r="T27" s="76"/>
      <c r="U27" s="76"/>
      <c r="V27" s="76"/>
      <c r="W27" s="76"/>
      <c r="X27" s="76"/>
      <c r="Y27" s="76"/>
      <c r="Z27" s="76"/>
      <c r="AA27" s="76"/>
      <c r="AB27" s="76"/>
      <c r="AC27" s="76" t="s">
        <v>20</v>
      </c>
      <c r="AD27" s="90">
        <f>SUM(AD20:AD25)</f>
        <v>1111.8</v>
      </c>
      <c r="AE27" s="91"/>
      <c r="AF27" s="68"/>
    </row>
    <row r="28" spans="1:32" ht="10.15" customHeight="1" thickBot="1" x14ac:dyDescent="0.25">
      <c r="A28" s="84"/>
      <c r="D28" s="75"/>
      <c r="E28" s="75"/>
      <c r="F28" s="75"/>
      <c r="G28" s="75"/>
      <c r="H28" s="75"/>
      <c r="I28" s="75"/>
      <c r="J28" s="75"/>
      <c r="K28" s="75"/>
      <c r="L28" s="75"/>
      <c r="M28" s="98"/>
      <c r="N28" s="98"/>
      <c r="O28" s="99"/>
      <c r="Q28" s="87"/>
      <c r="R28" s="66"/>
      <c r="S28" s="66"/>
      <c r="T28" s="76"/>
      <c r="U28" s="76"/>
      <c r="V28" s="76"/>
      <c r="W28" s="76"/>
      <c r="X28" s="76"/>
      <c r="Y28" s="76"/>
      <c r="Z28" s="76"/>
      <c r="AA28" s="76"/>
      <c r="AB28" s="76"/>
      <c r="AC28" s="100"/>
      <c r="AD28" s="100"/>
      <c r="AE28" s="101"/>
      <c r="AF28" s="68"/>
    </row>
    <row r="29" spans="1:32" ht="10.15" customHeight="1" thickTop="1" x14ac:dyDescent="0.2">
      <c r="A29" s="84"/>
      <c r="D29" s="75"/>
      <c r="E29" s="75"/>
      <c r="F29" s="75"/>
      <c r="G29" s="75"/>
      <c r="H29" s="75"/>
      <c r="I29" s="75"/>
      <c r="J29" s="75"/>
      <c r="K29" s="75"/>
      <c r="L29" s="75"/>
      <c r="M29" s="75"/>
      <c r="N29" s="75"/>
      <c r="O29" s="99"/>
      <c r="Q29" s="87"/>
      <c r="R29" s="66"/>
      <c r="S29" s="66"/>
      <c r="T29" s="76"/>
      <c r="U29" s="76"/>
      <c r="V29" s="76"/>
      <c r="W29" s="76"/>
      <c r="X29" s="76"/>
      <c r="Y29" s="76"/>
      <c r="Z29" s="76"/>
      <c r="AA29" s="76"/>
      <c r="AB29" s="76"/>
      <c r="AC29" s="76"/>
      <c r="AD29" s="76"/>
      <c r="AE29" s="101"/>
      <c r="AF29" s="68"/>
    </row>
    <row r="30" spans="1:32" ht="10.15" customHeight="1" x14ac:dyDescent="0.2">
      <c r="A30" s="84"/>
      <c r="D30" s="75"/>
      <c r="E30" s="75"/>
      <c r="F30" s="75"/>
      <c r="G30" s="75"/>
      <c r="H30" s="75"/>
      <c r="I30" s="75"/>
      <c r="J30" s="75"/>
      <c r="K30" s="75"/>
      <c r="L30" s="75"/>
      <c r="M30" s="75"/>
      <c r="N30" s="75"/>
      <c r="O30" s="99"/>
      <c r="Q30" s="87"/>
      <c r="R30" s="66"/>
      <c r="S30" s="66"/>
      <c r="T30" s="76"/>
      <c r="U30" s="76"/>
      <c r="V30" s="76"/>
      <c r="W30" s="76"/>
      <c r="X30" s="76"/>
      <c r="Y30" s="76"/>
      <c r="Z30" s="76"/>
      <c r="AA30" s="76"/>
      <c r="AB30" s="76"/>
      <c r="AC30" s="76"/>
      <c r="AD30" s="76"/>
      <c r="AE30" s="101"/>
      <c r="AF30" s="68"/>
    </row>
    <row r="31" spans="1:32" ht="10.15" customHeight="1" x14ac:dyDescent="0.2">
      <c r="A31" s="84"/>
      <c r="D31" s="75"/>
      <c r="E31" s="75"/>
      <c r="F31" s="75"/>
      <c r="G31" s="75"/>
      <c r="H31" s="75"/>
      <c r="I31" s="75"/>
      <c r="J31" s="75"/>
      <c r="K31" s="75"/>
      <c r="L31" s="75"/>
      <c r="M31" s="75"/>
      <c r="N31" s="75"/>
      <c r="O31" s="99"/>
      <c r="Q31" s="87"/>
      <c r="R31" s="66"/>
      <c r="S31" s="66"/>
      <c r="T31" s="76"/>
      <c r="U31" s="76"/>
      <c r="V31" s="76"/>
      <c r="W31" s="76"/>
      <c r="X31" s="76"/>
      <c r="Y31" s="76"/>
      <c r="Z31" s="76"/>
      <c r="AA31" s="76"/>
      <c r="AB31" s="76"/>
      <c r="AC31" s="76"/>
      <c r="AD31" s="76"/>
      <c r="AE31" s="101"/>
      <c r="AF31" s="68"/>
    </row>
    <row r="32" spans="1:32" ht="12.75" customHeight="1" x14ac:dyDescent="0.2">
      <c r="A32" s="84"/>
      <c r="D32" s="75"/>
      <c r="E32" s="75"/>
      <c r="F32" s="75"/>
      <c r="G32" s="75"/>
      <c r="H32" s="75"/>
      <c r="I32" s="75"/>
      <c r="J32" s="75"/>
      <c r="K32" s="75"/>
      <c r="L32" s="75"/>
      <c r="M32" s="75"/>
      <c r="N32" s="75"/>
      <c r="O32" s="99"/>
      <c r="Q32" s="87"/>
      <c r="R32" s="66"/>
      <c r="S32" s="66"/>
      <c r="T32" s="76"/>
      <c r="U32" s="76"/>
      <c r="V32" s="76"/>
      <c r="W32" s="76"/>
      <c r="X32" s="76"/>
      <c r="Y32" s="76"/>
      <c r="Z32" s="76"/>
      <c r="AA32" s="76"/>
      <c r="AB32" s="76"/>
      <c r="AC32" s="76"/>
      <c r="AD32" s="76"/>
      <c r="AE32" s="101"/>
      <c r="AF32" s="68"/>
    </row>
    <row r="33" spans="1:32" x14ac:dyDescent="0.2">
      <c r="A33" s="84"/>
      <c r="C33" s="75" t="s">
        <v>21</v>
      </c>
      <c r="E33" s="75"/>
      <c r="F33" s="148" t="s">
        <v>235</v>
      </c>
      <c r="G33" s="75"/>
      <c r="H33" s="75"/>
      <c r="I33" s="75"/>
      <c r="J33" s="75"/>
      <c r="K33" s="75"/>
      <c r="L33" s="75"/>
      <c r="M33" s="75"/>
      <c r="N33" s="75"/>
      <c r="O33" s="99"/>
      <c r="Q33" s="87"/>
      <c r="R33" s="66"/>
      <c r="S33" s="76" t="str">
        <f>C33</f>
        <v>Singapore Dollars</v>
      </c>
      <c r="T33" s="66"/>
      <c r="U33" s="76"/>
      <c r="V33" s="76" t="str">
        <f>F33</f>
        <v>One Thousand One Hundred and Eleven and Cents Eighty only</v>
      </c>
      <c r="W33" s="76"/>
      <c r="X33" s="76"/>
      <c r="Y33" s="76"/>
      <c r="Z33" s="76"/>
      <c r="AA33" s="76"/>
      <c r="AB33" s="76"/>
      <c r="AC33" s="76"/>
      <c r="AD33" s="76"/>
      <c r="AE33" s="101"/>
      <c r="AF33" s="68"/>
    </row>
    <row r="34" spans="1:32" ht="12.75" customHeight="1" x14ac:dyDescent="0.2">
      <c r="A34" s="84"/>
      <c r="D34" s="75"/>
      <c r="E34" s="75"/>
      <c r="F34" s="75"/>
      <c r="G34" s="75"/>
      <c r="H34" s="75"/>
      <c r="I34" s="75"/>
      <c r="J34" s="75"/>
      <c r="K34" s="75"/>
      <c r="L34" s="75"/>
      <c r="M34" s="75"/>
      <c r="N34" s="75"/>
      <c r="O34" s="99"/>
      <c r="Q34" s="87"/>
      <c r="R34" s="66"/>
      <c r="S34" s="66"/>
      <c r="T34" s="76"/>
      <c r="U34" s="76"/>
      <c r="V34" s="76"/>
      <c r="W34" s="76"/>
      <c r="X34" s="76"/>
      <c r="Y34" s="76"/>
      <c r="Z34" s="76"/>
      <c r="AA34" s="76"/>
      <c r="AB34" s="76"/>
      <c r="AC34" s="76"/>
      <c r="AD34" s="76"/>
      <c r="AE34" s="101"/>
      <c r="AF34" s="68"/>
    </row>
    <row r="35" spans="1:32" ht="12.75" customHeight="1" x14ac:dyDescent="0.2">
      <c r="A35" s="84"/>
      <c r="O35" s="84"/>
      <c r="Q35" s="87"/>
      <c r="R35" s="66"/>
      <c r="S35" s="66"/>
      <c r="T35" s="66"/>
      <c r="U35" s="66"/>
      <c r="V35" s="66"/>
      <c r="W35" s="66"/>
      <c r="X35" s="66"/>
      <c r="Y35" s="66"/>
      <c r="Z35" s="66"/>
      <c r="AA35" s="66"/>
      <c r="AB35" s="66"/>
      <c r="AC35" s="66"/>
      <c r="AD35" s="66"/>
      <c r="AE35" s="87"/>
      <c r="AF35" s="68"/>
    </row>
    <row r="36" spans="1:32" ht="12.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65" customHeight="1" x14ac:dyDescent="0.25">
      <c r="K53" s="110"/>
      <c r="L53" s="110"/>
      <c r="Q53" s="111" t="s">
        <v>27</v>
      </c>
      <c r="S53" s="112"/>
      <c r="T53" s="66"/>
      <c r="U53" s="66"/>
      <c r="V53" s="66"/>
      <c r="W53" s="66"/>
      <c r="X53" s="66"/>
      <c r="Y53" s="66"/>
      <c r="Z53" s="66"/>
      <c r="AA53" s="66"/>
      <c r="AB53" s="66"/>
      <c r="AC53" s="66"/>
      <c r="AD53" s="66"/>
      <c r="AE53" s="66"/>
      <c r="AF53" s="113" t="s">
        <v>28</v>
      </c>
    </row>
    <row r="54" spans="1:32" ht="11.65" customHeight="1" x14ac:dyDescent="0.25">
      <c r="K54" s="110"/>
      <c r="L54" s="110"/>
      <c r="Q54" s="112"/>
      <c r="R54" s="66"/>
      <c r="S54" s="112"/>
      <c r="T54" s="66"/>
      <c r="U54" s="103"/>
      <c r="V54" s="103"/>
      <c r="W54" s="103"/>
      <c r="X54" s="103"/>
      <c r="Y54" s="103"/>
      <c r="Z54" s="103"/>
      <c r="AA54" s="66"/>
      <c r="AB54" s="114"/>
      <c r="AC54" s="103"/>
      <c r="AD54" s="103"/>
      <c r="AE54" s="103"/>
      <c r="AF54" s="115"/>
    </row>
    <row r="55" spans="1:32" ht="11.65" customHeight="1" x14ac:dyDescent="0.25">
      <c r="K55" s="110"/>
      <c r="L55" s="110"/>
      <c r="Q55" s="112"/>
      <c r="R55" s="66"/>
      <c r="S55" s="112"/>
      <c r="T55" s="66"/>
      <c r="U55" s="103"/>
      <c r="V55" s="103"/>
      <c r="W55" s="103"/>
      <c r="X55" s="103"/>
      <c r="Y55" s="116"/>
      <c r="Z55" s="117"/>
      <c r="AA55" s="66"/>
      <c r="AB55" s="111"/>
      <c r="AC55" s="66"/>
      <c r="AD55" s="117"/>
      <c r="AE55" s="103"/>
      <c r="AF55" s="118"/>
    </row>
    <row r="56" spans="1:32" ht="11.65" customHeight="1" x14ac:dyDescent="0.25">
      <c r="A56" s="110"/>
      <c r="B56" s="110"/>
      <c r="D56" s="110"/>
      <c r="K56" s="110"/>
      <c r="L56" s="110"/>
      <c r="Q56" s="119"/>
      <c r="R56" s="66"/>
      <c r="S56" s="120" t="s">
        <v>29</v>
      </c>
      <c r="T56" s="108"/>
      <c r="U56" s="103"/>
      <c r="V56" s="103"/>
      <c r="W56" s="103"/>
      <c r="X56" s="103"/>
      <c r="Y56" s="116"/>
      <c r="Z56" s="117"/>
      <c r="AA56" s="66"/>
      <c r="AB56" s="111"/>
      <c r="AC56" s="66"/>
      <c r="AD56" s="117"/>
      <c r="AE56" s="66"/>
      <c r="AF56" s="118"/>
    </row>
    <row r="57" spans="1:32" ht="11.65" customHeight="1" x14ac:dyDescent="0.25">
      <c r="A57" s="110"/>
      <c r="B57" s="110"/>
      <c r="D57" s="110"/>
      <c r="K57" s="110"/>
      <c r="L57" s="110"/>
      <c r="R57" s="121"/>
      <c r="S57" s="66"/>
      <c r="T57" s="66"/>
      <c r="U57" s="103"/>
      <c r="V57" s="114"/>
      <c r="W57" s="103"/>
      <c r="X57" s="103"/>
      <c r="Y57" s="116"/>
      <c r="Z57" s="117"/>
      <c r="AA57" s="66"/>
      <c r="AB57" s="111"/>
      <c r="AC57" s="66"/>
      <c r="AD57" s="117"/>
      <c r="AE57" s="66"/>
      <c r="AF57" s="118"/>
    </row>
    <row r="58" spans="1:32" ht="11.6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6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6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6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6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mergeCells count="3">
    <mergeCell ref="H20:I20"/>
    <mergeCell ref="X20:Y20"/>
    <mergeCell ref="S22:Y22"/>
  </mergeCells>
  <printOptions horizontalCentered="1"/>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51A89F7F-9295-4E29-90AF-71D3AF95DB4E}">
          <x14:formula1>
            <xm:f>'Drop down list '!$H$2:$H$32</xm:f>
          </x14:formula1>
          <xm:sqref>M12</xm:sqref>
        </x14:dataValidation>
        <x14:dataValidation type="list" allowBlank="1" showInputMessage="1" showErrorMessage="1" xr:uid="{CB2E4D04-3211-4FFD-8ACF-4C5299CDCBEF}">
          <x14:formula1>
            <xm:f>'Drop down list '!$I$2:$I$4</xm:f>
          </x14:formula1>
          <xm:sqref>N12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2739A-D9C2-4566-9377-74388588232C}">
  <sheetPr codeName="Sheet1033">
    <tabColor rgb="FFFFFF00"/>
    <pageSetUpPr fitToPage="1"/>
  </sheetPr>
  <dimension ref="A1:AH63"/>
  <sheetViews>
    <sheetView zoomScaleNormal="100" workbookViewId="0">
      <selection activeCell="R40" sqref="R40"/>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7109375" style="2" customWidth="1"/>
    <col min="14" max="14" width="10"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4" customWidth="1"/>
    <col min="31" max="31" width="10"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12</v>
      </c>
      <c r="L7" s="8" t="s">
        <v>17</v>
      </c>
      <c r="R7" s="24"/>
      <c r="S7" s="24"/>
      <c r="T7" s="28" t="str">
        <f t="shared" ref="T7:T10" si="0">C7</f>
        <v>Singapore Tong Teik (Pte) Ltd</v>
      </c>
      <c r="U7" s="24"/>
      <c r="V7" s="24"/>
      <c r="W7" s="24"/>
      <c r="X7" s="24"/>
      <c r="Y7" s="24"/>
      <c r="Z7" s="24"/>
      <c r="AA7" s="24"/>
      <c r="AB7" s="24"/>
      <c r="AC7" s="217" t="s">
        <v>17</v>
      </c>
      <c r="AD7" s="217"/>
      <c r="AE7" s="217"/>
      <c r="AF7" s="24"/>
      <c r="AG7" s="24"/>
      <c r="AH7" s="26"/>
    </row>
    <row r="8" spans="1:34" x14ac:dyDescent="0.2">
      <c r="C8" s="12" t="s">
        <v>184</v>
      </c>
      <c r="R8" s="24"/>
      <c r="S8" s="24"/>
      <c r="T8" s="29" t="str">
        <f t="shared" si="0"/>
        <v>7 Temasek Boulevard,</v>
      </c>
      <c r="U8" s="24"/>
      <c r="V8" s="24"/>
      <c r="W8" s="24"/>
      <c r="X8" s="24"/>
      <c r="Y8" s="24"/>
      <c r="Z8" s="24"/>
      <c r="AA8" s="24"/>
      <c r="AB8" s="24"/>
      <c r="AC8" s="24"/>
      <c r="AD8" s="24"/>
      <c r="AE8" s="24"/>
      <c r="AF8" s="24"/>
      <c r="AG8" s="24"/>
      <c r="AH8" s="26"/>
    </row>
    <row r="9" spans="1:34" x14ac:dyDescent="0.2">
      <c r="C9" s="12" t="s">
        <v>185</v>
      </c>
      <c r="L9" s="12" t="s">
        <v>18</v>
      </c>
      <c r="M9" s="136" t="s">
        <v>253</v>
      </c>
      <c r="R9" s="24"/>
      <c r="S9" s="24"/>
      <c r="T9" s="29" t="str">
        <f t="shared" si="0"/>
        <v>#20-02 Suntec Tower One,</v>
      </c>
      <c r="U9" s="24"/>
      <c r="V9" s="24"/>
      <c r="W9" s="24"/>
      <c r="X9" s="24"/>
      <c r="Y9" s="24"/>
      <c r="Z9" s="24"/>
      <c r="AA9" s="24"/>
      <c r="AB9" s="24"/>
      <c r="AC9" s="29" t="s">
        <v>18</v>
      </c>
      <c r="AD9" s="214" t="str">
        <f>M9</f>
        <v>DN202608-05</v>
      </c>
      <c r="AE9" s="214"/>
      <c r="AF9" s="24"/>
      <c r="AG9" s="24"/>
      <c r="AH9" s="26"/>
    </row>
    <row r="10" spans="1:34" x14ac:dyDescent="0.2">
      <c r="C10" s="12" t="s">
        <v>186</v>
      </c>
      <c r="R10" s="24"/>
      <c r="S10" s="24"/>
      <c r="T10" s="29" t="str">
        <f t="shared" si="0"/>
        <v>Singapore 038987</v>
      </c>
      <c r="U10" s="24"/>
      <c r="V10" s="24"/>
      <c r="W10" s="24"/>
      <c r="X10" s="24"/>
      <c r="Y10" s="24"/>
      <c r="Z10" s="24"/>
      <c r="AA10" s="24"/>
      <c r="AB10" s="24"/>
      <c r="AC10" s="24"/>
      <c r="AD10" s="24"/>
      <c r="AE10" s="24"/>
      <c r="AF10" s="24"/>
      <c r="AG10" s="24"/>
      <c r="AH10" s="26"/>
    </row>
    <row r="11" spans="1:34" x14ac:dyDescent="0.2">
      <c r="C11" s="12"/>
      <c r="R11" s="24"/>
      <c r="S11" s="24"/>
      <c r="T11" s="29"/>
      <c r="U11" s="24"/>
      <c r="V11" s="24"/>
      <c r="W11" s="24"/>
      <c r="X11" s="24"/>
      <c r="Y11" s="24"/>
      <c r="Z11" s="24"/>
      <c r="AA11" s="24"/>
      <c r="AB11" s="24"/>
      <c r="AC11" s="24"/>
      <c r="AD11" s="24"/>
      <c r="AE11" s="24"/>
      <c r="AF11" s="24"/>
      <c r="AG11" s="24"/>
      <c r="AH11" s="26"/>
    </row>
    <row r="12" spans="1:34" x14ac:dyDescent="0.2">
      <c r="C12" s="12"/>
      <c r="L12" s="144" t="s">
        <v>19</v>
      </c>
      <c r="M12" s="144">
        <v>6</v>
      </c>
      <c r="N12" s="145">
        <v>46235</v>
      </c>
      <c r="R12" s="24"/>
      <c r="S12" s="24"/>
      <c r="T12" s="29"/>
      <c r="U12" s="24"/>
      <c r="V12" s="24"/>
      <c r="W12" s="24"/>
      <c r="X12" s="24"/>
      <c r="Y12" s="24"/>
      <c r="Z12" s="24"/>
      <c r="AA12" s="24"/>
      <c r="AB12" s="24"/>
      <c r="AC12" s="147" t="s">
        <v>19</v>
      </c>
      <c r="AD12" s="30">
        <f>M12</f>
        <v>6</v>
      </c>
      <c r="AE12" s="146">
        <f>N12</f>
        <v>46235</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26"/>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262</v>
      </c>
      <c r="D16" s="12"/>
      <c r="E16" s="12"/>
      <c r="F16" s="12"/>
      <c r="G16" s="12"/>
      <c r="H16" s="12"/>
      <c r="I16" s="12"/>
      <c r="J16" s="12"/>
      <c r="K16" s="12"/>
      <c r="L16" s="12"/>
      <c r="M16" s="12"/>
      <c r="N16" s="12"/>
      <c r="O16" s="12"/>
      <c r="P16" s="128"/>
      <c r="R16" s="35"/>
      <c r="S16" s="24"/>
      <c r="T16" s="29" t="str">
        <f t="shared" ref="T16:T17" si="1">C16</f>
        <v>SI No. S26-7867(A) 80 units 117.6M3 SMR-10 to Qingdao, China</v>
      </c>
      <c r="U16" s="29"/>
      <c r="V16" s="29"/>
      <c r="W16" s="29"/>
      <c r="X16" s="29"/>
      <c r="Y16" s="29"/>
      <c r="Z16" s="29"/>
      <c r="AA16" s="29"/>
      <c r="AB16" s="29"/>
      <c r="AC16" s="29"/>
      <c r="AD16" s="29"/>
      <c r="AE16" s="29"/>
      <c r="AF16" s="29"/>
      <c r="AG16" s="36"/>
      <c r="AH16" s="26"/>
    </row>
    <row r="17" spans="1:34" ht="12.75" customHeight="1" x14ac:dyDescent="0.2">
      <c r="A17" s="10"/>
      <c r="C17" s="136" t="s">
        <v>263</v>
      </c>
      <c r="D17" s="12"/>
      <c r="E17" s="12"/>
      <c r="F17" s="12"/>
      <c r="G17" s="12"/>
      <c r="I17" s="136"/>
      <c r="L17" s="12"/>
      <c r="M17" s="12"/>
      <c r="N17" s="12"/>
      <c r="O17" s="12"/>
      <c r="P17" s="128"/>
      <c r="R17" s="35"/>
      <c r="S17" s="24"/>
      <c r="T17" s="29" t="str">
        <f t="shared" si="1"/>
        <v>SI No. S26-7867(B) 80 units 117.6M3 SMR-10 to Qingdao, China</v>
      </c>
      <c r="U17" s="29"/>
      <c r="V17" s="29"/>
      <c r="W17" s="29"/>
      <c r="X17" s="29"/>
      <c r="Z17" s="12"/>
      <c r="AB17" s="24"/>
      <c r="AC17" s="29"/>
      <c r="AD17" s="29"/>
      <c r="AE17" s="29"/>
      <c r="AF17" s="29"/>
      <c r="AG17" s="36"/>
      <c r="AH17" s="26"/>
    </row>
    <row r="18" spans="1:34" ht="12.75" customHeight="1" x14ac:dyDescent="0.2">
      <c r="A18" s="10"/>
      <c r="C18" s="136"/>
      <c r="D18" s="12"/>
      <c r="E18" s="12"/>
      <c r="F18" s="12"/>
      <c r="G18" s="12"/>
      <c r="H18" s="12"/>
      <c r="I18" s="125"/>
      <c r="J18" s="12"/>
      <c r="K18" s="144"/>
      <c r="L18" s="144"/>
      <c r="M18" s="56"/>
      <c r="N18" s="12"/>
      <c r="O18" s="12"/>
      <c r="P18" s="128"/>
      <c r="R18" s="35"/>
      <c r="S18" s="24"/>
      <c r="T18" s="29"/>
      <c r="U18" s="29"/>
      <c r="V18" s="29"/>
      <c r="W18" s="29"/>
      <c r="Z18" s="126"/>
      <c r="AA18" s="12"/>
      <c r="AB18" s="12"/>
      <c r="AC18" s="12"/>
      <c r="AD18" s="12"/>
      <c r="AE18" s="12"/>
      <c r="AF18" s="29"/>
      <c r="AG18" s="36"/>
      <c r="AH18" s="26"/>
    </row>
    <row r="19" spans="1:34" ht="12.75" customHeight="1" x14ac:dyDescent="0.2">
      <c r="A19" s="10"/>
      <c r="C19" s="136" t="s">
        <v>261</v>
      </c>
      <c r="D19" s="12"/>
      <c r="E19" s="12"/>
      <c r="F19" s="12"/>
      <c r="G19" s="136"/>
      <c r="H19" s="12"/>
      <c r="I19" s="12"/>
      <c r="J19" s="12"/>
      <c r="K19" s="62"/>
      <c r="L19" s="62"/>
      <c r="M19" s="12"/>
      <c r="N19" s="12"/>
      <c r="O19" s="12"/>
      <c r="P19" s="128"/>
      <c r="R19" s="35"/>
      <c r="S19" s="24"/>
      <c r="T19" s="147" t="str">
        <f>C19</f>
        <v xml:space="preserve">Total 160 units 235.2M3 SMR-10 arrived Singapore on 07 July 2026 </v>
      </c>
      <c r="U19" s="147"/>
      <c r="V19" s="134"/>
      <c r="W19" s="134"/>
      <c r="X19" s="29"/>
      <c r="Y19" s="29"/>
      <c r="Z19" s="29"/>
      <c r="AA19" s="29"/>
      <c r="AB19" s="163"/>
      <c r="AC19" s="163"/>
      <c r="AD19" s="29"/>
      <c r="AE19" s="29"/>
      <c r="AF19" s="29"/>
      <c r="AG19" s="36"/>
      <c r="AH19" s="26"/>
    </row>
    <row r="20" spans="1:34" ht="12.75" customHeight="1" x14ac:dyDescent="0.2">
      <c r="A20" s="10"/>
      <c r="C20" s="136" t="s">
        <v>259</v>
      </c>
      <c r="D20" s="12"/>
      <c r="E20" s="12"/>
      <c r="F20" s="12"/>
      <c r="G20" s="12"/>
      <c r="H20" s="144"/>
      <c r="I20" s="153"/>
      <c r="J20" s="12"/>
      <c r="M20" s="12"/>
      <c r="N20" s="12"/>
      <c r="O20" s="12"/>
      <c r="P20" s="128"/>
      <c r="R20" s="35"/>
      <c r="S20" s="24"/>
      <c r="T20" s="29" t="str">
        <f>C20</f>
        <v>and shipped on 31 July 2026 on MV. Xin Qin Huang Dao V.133N</v>
      </c>
      <c r="U20" s="29"/>
      <c r="V20" s="29"/>
      <c r="W20" s="29"/>
      <c r="X20" s="29"/>
      <c r="Z20" s="124"/>
      <c r="AA20" s="29"/>
      <c r="AB20" s="24"/>
      <c r="AC20" s="29"/>
      <c r="AD20" s="29"/>
      <c r="AE20" s="29"/>
      <c r="AF20" s="29"/>
      <c r="AG20" s="36"/>
      <c r="AH20" s="26"/>
    </row>
    <row r="21" spans="1:34" ht="12.75" customHeight="1" x14ac:dyDescent="0.2">
      <c r="A21" s="10"/>
      <c r="C21" s="13"/>
      <c r="D21" s="4"/>
      <c r="E21" s="13"/>
      <c r="F21" s="13"/>
      <c r="G21" s="13"/>
      <c r="H21" s="13"/>
      <c r="I21" s="13"/>
      <c r="J21" s="13"/>
      <c r="K21" s="13"/>
      <c r="L21" s="13"/>
      <c r="M21" s="13"/>
      <c r="N21" s="13"/>
      <c r="O21" s="12"/>
      <c r="P21" s="128"/>
      <c r="R21" s="35"/>
      <c r="S21" s="24"/>
      <c r="T21" s="37"/>
      <c r="U21" s="37"/>
      <c r="V21" s="37"/>
      <c r="W21" s="37"/>
      <c r="X21" s="37"/>
      <c r="Y21" s="37"/>
      <c r="Z21" s="37"/>
      <c r="AA21" s="37"/>
      <c r="AB21" s="37"/>
      <c r="AC21" s="37"/>
      <c r="AD21" s="37"/>
      <c r="AE21" s="37"/>
      <c r="AF21" s="29"/>
      <c r="AG21" s="36"/>
      <c r="AH21" s="26"/>
    </row>
    <row r="22" spans="1:34" ht="12.75" customHeight="1" x14ac:dyDescent="0.2">
      <c r="A22" s="10"/>
      <c r="C22" s="203" t="s">
        <v>256</v>
      </c>
      <c r="E22" s="12"/>
      <c r="F22" s="12"/>
      <c r="G22" s="12"/>
      <c r="H22" s="12"/>
      <c r="I22" s="57"/>
      <c r="J22" s="60"/>
      <c r="L22" s="12"/>
      <c r="M22" s="12"/>
      <c r="N22" s="14"/>
      <c r="O22" s="12"/>
      <c r="P22" s="128"/>
      <c r="R22" s="35"/>
      <c r="S22" s="24"/>
      <c r="T22" s="204" t="str">
        <f>C22</f>
        <v>Jurong Port Store Rent</v>
      </c>
      <c r="U22" s="29"/>
      <c r="V22" s="29"/>
      <c r="W22" s="163"/>
      <c r="X22" s="163"/>
      <c r="Y22" s="29"/>
      <c r="Z22" s="29"/>
      <c r="AA22" s="29"/>
      <c r="AB22" s="29"/>
      <c r="AC22" s="29"/>
      <c r="AD22" s="29"/>
      <c r="AE22" s="39"/>
      <c r="AF22" s="29"/>
      <c r="AG22" s="36"/>
      <c r="AH22" s="26"/>
    </row>
    <row r="23" spans="1:34" ht="12.75" customHeight="1" x14ac:dyDescent="0.2">
      <c r="A23" s="10"/>
      <c r="C23" s="12" t="s">
        <v>260</v>
      </c>
      <c r="E23" s="12"/>
      <c r="F23" s="12"/>
      <c r="G23" s="12"/>
      <c r="H23" s="12"/>
      <c r="I23" s="57"/>
      <c r="J23" s="60"/>
      <c r="L23" s="12"/>
      <c r="M23" s="12"/>
      <c r="N23" s="14"/>
      <c r="O23" s="12"/>
      <c r="P23" s="128"/>
      <c r="R23" s="35"/>
      <c r="S23" s="24"/>
      <c r="T23" s="29" t="str">
        <f>C23</f>
        <v>Jurong Port FTZ godown first 14 days free storage for transshipment cargo</v>
      </c>
      <c r="U23" s="29"/>
      <c r="V23" s="29"/>
      <c r="W23" s="163"/>
      <c r="X23" s="163"/>
      <c r="Y23" s="29"/>
      <c r="Z23" s="29"/>
      <c r="AA23" s="29"/>
      <c r="AB23" s="29"/>
      <c r="AC23" s="29"/>
      <c r="AD23" s="29"/>
      <c r="AE23" s="39"/>
      <c r="AF23" s="29"/>
      <c r="AG23" s="36"/>
      <c r="AH23" s="26"/>
    </row>
    <row r="24" spans="1:34" ht="12.75" customHeight="1" x14ac:dyDescent="0.2">
      <c r="A24" s="10"/>
      <c r="C24" s="92" t="s">
        <v>254</v>
      </c>
      <c r="E24" s="12"/>
      <c r="F24" s="12"/>
      <c r="G24" s="12"/>
      <c r="H24" s="12"/>
      <c r="L24" s="12"/>
      <c r="M24" s="12"/>
      <c r="N24" s="14"/>
      <c r="O24" s="12"/>
      <c r="P24" s="128"/>
      <c r="R24" s="35"/>
      <c r="S24" s="24"/>
      <c r="T24" s="12" t="str">
        <f>C24</f>
        <v>Store rent on 160 units 235.2 M3 ex B/L JJST2607W-BKI01 &amp; BKI02 for 1 day</v>
      </c>
      <c r="AF24" s="29"/>
      <c r="AG24" s="36"/>
      <c r="AH24" s="26"/>
    </row>
    <row r="25" spans="1:34" ht="12.75" customHeight="1" x14ac:dyDescent="0.2">
      <c r="A25" s="10"/>
      <c r="M25" s="2" t="s">
        <v>20</v>
      </c>
      <c r="N25" s="164">
        <v>47.04</v>
      </c>
      <c r="O25" s="12"/>
      <c r="P25" s="128"/>
      <c r="R25" s="35"/>
      <c r="S25" s="24"/>
      <c r="T25" s="29"/>
      <c r="U25" s="24"/>
      <c r="V25" s="29"/>
      <c r="W25" s="29"/>
      <c r="X25" s="29"/>
      <c r="Y25" s="29"/>
      <c r="Z25" s="29"/>
      <c r="AA25" s="29"/>
      <c r="AB25" s="29"/>
      <c r="AC25" s="29"/>
      <c r="AD25" s="29" t="str">
        <f>M25</f>
        <v>S$</v>
      </c>
      <c r="AE25" s="165">
        <f>N25</f>
        <v>47.04</v>
      </c>
      <c r="AF25" s="29"/>
      <c r="AG25" s="36"/>
      <c r="AH25" s="26"/>
    </row>
    <row r="26" spans="1:34" x14ac:dyDescent="0.2">
      <c r="A26" s="10"/>
      <c r="C26" s="203" t="s">
        <v>255</v>
      </c>
      <c r="O26" s="14"/>
      <c r="P26" s="128"/>
      <c r="R26" s="35"/>
      <c r="S26" s="24"/>
      <c r="T26" s="204" t="str">
        <f>C26</f>
        <v>Jurong Port Container Store Rent</v>
      </c>
      <c r="U26" s="24"/>
      <c r="V26" s="29"/>
      <c r="W26" s="29"/>
      <c r="X26" s="29"/>
      <c r="Y26" s="29"/>
      <c r="Z26" s="58"/>
      <c r="AA26" s="59"/>
      <c r="AB26" s="2"/>
      <c r="AC26" s="29"/>
      <c r="AD26" s="29"/>
      <c r="AE26" s="39"/>
      <c r="AF26" s="39"/>
      <c r="AG26" s="40"/>
      <c r="AH26" s="26"/>
    </row>
    <row r="27" spans="1:34" x14ac:dyDescent="0.2">
      <c r="A27" s="10"/>
      <c r="C27" s="92" t="s">
        <v>257</v>
      </c>
      <c r="O27" s="14"/>
      <c r="P27" s="128"/>
      <c r="R27" s="35"/>
      <c r="S27" s="24"/>
      <c r="T27" s="29" t="str">
        <f>C27</f>
        <v>Container store rent on 10 containers ex B/L JJST2607W-BKI01 &amp; BKI02 for 7 days</v>
      </c>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t="s">
        <v>20</v>
      </c>
      <c r="N28" s="14">
        <v>560</v>
      </c>
      <c r="O28" s="14"/>
      <c r="P28" s="128"/>
      <c r="R28" s="35"/>
      <c r="S28" s="24"/>
      <c r="T28" s="29"/>
      <c r="U28" s="24"/>
      <c r="V28" s="29"/>
      <c r="W28" s="29"/>
      <c r="X28" s="29"/>
      <c r="Y28" s="29"/>
      <c r="Z28" s="29"/>
      <c r="AA28" s="24"/>
      <c r="AB28" s="24"/>
      <c r="AC28" s="29"/>
      <c r="AD28" s="29" t="str">
        <f>M28</f>
        <v>S$</v>
      </c>
      <c r="AE28" s="39">
        <f>N28</f>
        <v>560</v>
      </c>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SUM(N22:N28)</f>
        <v>607.04</v>
      </c>
      <c r="O31" s="14"/>
      <c r="P31" s="128"/>
      <c r="R31" s="35"/>
      <c r="S31" s="24"/>
      <c r="T31" s="24"/>
      <c r="U31" s="29"/>
      <c r="V31" s="29"/>
      <c r="W31" s="29"/>
      <c r="X31" s="29"/>
      <c r="Y31" s="29"/>
      <c r="Z31" s="29"/>
      <c r="AA31" s="29"/>
      <c r="AB31" s="29"/>
      <c r="AC31" s="29"/>
      <c r="AD31" s="29" t="str">
        <f>M31</f>
        <v>S$</v>
      </c>
      <c r="AE31" s="39">
        <f>SUM(AE22:AE29)</f>
        <v>607.04</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9.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258</v>
      </c>
      <c r="E35" s="136"/>
      <c r="F35" s="12"/>
      <c r="G35" s="12"/>
      <c r="H35" s="12"/>
      <c r="I35" s="12"/>
      <c r="J35" s="12"/>
      <c r="K35" s="12"/>
      <c r="L35" s="12"/>
      <c r="M35" s="12"/>
      <c r="N35" s="12"/>
      <c r="O35" s="12"/>
      <c r="P35" s="128"/>
      <c r="R35" s="35"/>
      <c r="S35" s="24"/>
      <c r="T35" s="29" t="str">
        <f>C35</f>
        <v>Singapore Dollars Six Hundred Seven and cents Four only</v>
      </c>
      <c r="U35" s="24"/>
      <c r="V35" s="29"/>
      <c r="W35" s="29"/>
      <c r="X35" s="29"/>
      <c r="Y35" s="29"/>
      <c r="Z35" s="29"/>
      <c r="AA35" s="29"/>
      <c r="AB35" s="29"/>
      <c r="AC35" s="29"/>
      <c r="AD35" s="29"/>
      <c r="AE35" s="29"/>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66"/>
      <c r="T51" s="66"/>
      <c r="U51" s="66"/>
      <c r="V51" s="66"/>
      <c r="W51" s="66"/>
      <c r="X51" s="66"/>
      <c r="Y51" s="66"/>
      <c r="Z51" s="66"/>
      <c r="AA51" s="66"/>
      <c r="AB51" s="66"/>
      <c r="AC51" s="66"/>
      <c r="AD51" s="66"/>
      <c r="AE51" s="66"/>
      <c r="AF51" s="66"/>
      <c r="AG51" s="66"/>
      <c r="AH51" s="68"/>
    </row>
    <row r="52" spans="1:34" ht="11.65" customHeight="1" x14ac:dyDescent="0.25">
      <c r="K52" s="9"/>
      <c r="L52" s="9"/>
      <c r="S52" s="111" t="s">
        <v>27</v>
      </c>
      <c r="T52" s="65"/>
      <c r="U52" s="112"/>
      <c r="V52" s="66"/>
      <c r="W52" s="66"/>
      <c r="X52" s="66"/>
      <c r="Y52" s="66"/>
      <c r="Z52" s="66"/>
      <c r="AA52" s="66"/>
      <c r="AB52" s="66"/>
      <c r="AC52" s="66"/>
      <c r="AD52" s="66"/>
      <c r="AE52" s="66"/>
      <c r="AF52" s="113" t="s">
        <v>28</v>
      </c>
      <c r="AG52" s="66"/>
    </row>
    <row r="53" spans="1:34" ht="11.65" customHeight="1" x14ac:dyDescent="0.25">
      <c r="K53" s="9"/>
      <c r="L53" s="9"/>
      <c r="R53" s="43"/>
      <c r="S53" s="112"/>
      <c r="T53" s="66"/>
      <c r="U53" s="112"/>
      <c r="V53" s="66"/>
      <c r="W53" s="103"/>
      <c r="X53" s="103"/>
      <c r="Y53" s="103"/>
      <c r="Z53" s="103"/>
      <c r="AA53" s="103"/>
      <c r="AB53" s="103"/>
      <c r="AC53" s="66"/>
      <c r="AD53" s="114"/>
      <c r="AE53" s="103"/>
      <c r="AF53" s="103"/>
      <c r="AG53" s="103"/>
      <c r="AH53" s="115"/>
    </row>
    <row r="54" spans="1:34" ht="11.65" customHeight="1" x14ac:dyDescent="0.25">
      <c r="K54" s="9"/>
      <c r="L54" s="9"/>
      <c r="R54" s="43"/>
      <c r="S54" s="112"/>
      <c r="T54" s="66"/>
      <c r="U54" s="112"/>
      <c r="V54" s="66"/>
      <c r="W54" s="103"/>
      <c r="X54" s="103"/>
      <c r="Y54" s="103"/>
      <c r="Z54" s="103"/>
      <c r="AA54" s="116"/>
      <c r="AB54" s="117"/>
      <c r="AC54" s="66"/>
      <c r="AD54" s="111"/>
      <c r="AE54" s="66"/>
      <c r="AF54" s="117"/>
      <c r="AG54" s="103"/>
      <c r="AH54" s="118"/>
    </row>
    <row r="55" spans="1:34" ht="11.65" customHeight="1" x14ac:dyDescent="0.25">
      <c r="A55" s="9"/>
      <c r="B55" s="9"/>
      <c r="C55" s="92"/>
      <c r="D55" s="9"/>
      <c r="K55" s="9"/>
      <c r="L55" s="9"/>
      <c r="R55" s="43"/>
      <c r="S55" s="119"/>
      <c r="T55" s="66"/>
      <c r="U55" s="120" t="s">
        <v>29</v>
      </c>
      <c r="V55" s="108"/>
      <c r="W55" s="103"/>
      <c r="X55" s="103"/>
      <c r="Y55" s="103"/>
      <c r="Z55" s="103"/>
      <c r="AA55" s="116"/>
      <c r="AB55" s="117"/>
      <c r="AC55" s="66"/>
      <c r="AD55" s="111"/>
      <c r="AE55" s="66"/>
      <c r="AF55" s="117"/>
      <c r="AG55" s="66"/>
      <c r="AH55" s="118"/>
    </row>
    <row r="56" spans="1:34" ht="11.65" customHeight="1" x14ac:dyDescent="0.25">
      <c r="A56" s="9"/>
      <c r="B56" s="9"/>
      <c r="C56" s="169"/>
      <c r="D56" s="9"/>
      <c r="K56" s="9"/>
      <c r="L56" s="9"/>
      <c r="R56" s="24"/>
      <c r="S56" s="65"/>
      <c r="T56" s="121"/>
      <c r="U56" s="66"/>
      <c r="V56" s="66"/>
      <c r="W56" s="103"/>
      <c r="X56" s="114"/>
      <c r="Y56" s="103"/>
      <c r="Z56" s="103"/>
      <c r="AA56" s="116"/>
      <c r="AB56" s="117"/>
      <c r="AC56" s="66"/>
      <c r="AD56" s="111"/>
      <c r="AE56" s="66"/>
      <c r="AF56" s="117"/>
      <c r="AG56" s="66"/>
      <c r="AH56" s="118"/>
    </row>
    <row r="57" spans="1:34" ht="11.65" customHeight="1" x14ac:dyDescent="0.25">
      <c r="A57" s="9"/>
      <c r="B57" s="9"/>
      <c r="C57" s="92"/>
      <c r="D57" s="9"/>
      <c r="K57" s="9"/>
      <c r="L57" s="9"/>
      <c r="R57" s="24"/>
      <c r="S57" s="66"/>
      <c r="T57" s="66"/>
      <c r="U57" s="116"/>
      <c r="V57" s="117"/>
      <c r="W57" s="66"/>
      <c r="X57" s="66"/>
      <c r="Y57" s="103"/>
      <c r="Z57" s="103"/>
      <c r="AA57" s="116"/>
      <c r="AB57" s="117"/>
      <c r="AC57" s="66"/>
      <c r="AD57" s="111"/>
      <c r="AE57" s="66"/>
      <c r="AF57" s="117"/>
      <c r="AG57" s="66"/>
      <c r="AH57" s="118"/>
    </row>
    <row r="58" spans="1:34" ht="11.65" customHeight="1" x14ac:dyDescent="0.25">
      <c r="A58" s="9"/>
      <c r="B58" s="9"/>
      <c r="C58" s="169"/>
      <c r="D58" s="9"/>
      <c r="F58" s="9"/>
      <c r="G58" s="9"/>
      <c r="H58" s="9"/>
      <c r="I58" s="9"/>
      <c r="K58" s="9"/>
      <c r="L58" s="9"/>
      <c r="N58" s="20"/>
      <c r="O58" s="9"/>
      <c r="R58" s="24"/>
      <c r="S58" s="66"/>
      <c r="T58" s="66"/>
      <c r="U58" s="116"/>
      <c r="V58" s="117"/>
      <c r="W58" s="66"/>
      <c r="X58" s="66"/>
      <c r="Y58" s="103"/>
      <c r="Z58" s="103"/>
      <c r="AA58" s="116"/>
      <c r="AB58" s="117"/>
      <c r="AC58" s="66"/>
      <c r="AD58" s="103"/>
      <c r="AE58" s="103"/>
      <c r="AF58" s="103"/>
      <c r="AG58" s="66"/>
      <c r="AH58" s="68"/>
    </row>
    <row r="59" spans="1:34" ht="11.65" customHeight="1" x14ac:dyDescent="0.25">
      <c r="A59" s="9"/>
      <c r="B59" s="9"/>
      <c r="D59" s="9"/>
      <c r="F59" s="9"/>
      <c r="G59" s="9"/>
      <c r="H59" s="9"/>
      <c r="I59" s="9"/>
      <c r="K59" s="9"/>
      <c r="L59" s="9"/>
      <c r="R59" s="24"/>
      <c r="S59" s="66"/>
      <c r="T59" s="66"/>
      <c r="U59" s="116"/>
      <c r="V59" s="117"/>
      <c r="W59" s="66"/>
      <c r="X59" s="116"/>
      <c r="Y59" s="117"/>
      <c r="Z59" s="123"/>
      <c r="AA59" s="116"/>
      <c r="AB59" s="117"/>
      <c r="AC59" s="66"/>
      <c r="AD59" s="103"/>
      <c r="AE59" s="103"/>
      <c r="AF59" s="103"/>
      <c r="AG59" s="66"/>
      <c r="AH59" s="68"/>
    </row>
    <row r="60" spans="1:34" ht="11.65" customHeight="1" x14ac:dyDescent="0.25">
      <c r="A60" s="9"/>
      <c r="B60" s="9"/>
      <c r="D60" s="9"/>
      <c r="F60" s="9"/>
      <c r="G60" s="9"/>
      <c r="H60" s="9"/>
      <c r="I60" s="9"/>
      <c r="K60" s="9"/>
      <c r="L60" s="9"/>
      <c r="R60" s="24"/>
      <c r="S60" s="66"/>
      <c r="T60" s="66"/>
      <c r="U60" s="116"/>
      <c r="V60" s="117"/>
      <c r="W60" s="66"/>
      <c r="X60" s="116"/>
      <c r="Y60" s="117"/>
      <c r="Z60" s="123"/>
      <c r="AA60" s="116"/>
      <c r="AB60" s="117"/>
      <c r="AC60" s="66"/>
      <c r="AD60" s="103"/>
      <c r="AE60" s="103"/>
      <c r="AF60" s="103"/>
      <c r="AG60" s="66"/>
      <c r="AH60" s="68"/>
    </row>
    <row r="61" spans="1:34" ht="11.65" customHeight="1" x14ac:dyDescent="0.25">
      <c r="A61" s="9"/>
      <c r="B61" s="9"/>
      <c r="D61" s="9"/>
      <c r="F61" s="9"/>
      <c r="G61" s="9"/>
      <c r="H61" s="9"/>
      <c r="I61" s="9"/>
      <c r="K61" s="9"/>
      <c r="L61" s="9"/>
      <c r="R61" s="24"/>
      <c r="S61" s="66"/>
      <c r="T61" s="66"/>
      <c r="U61" s="116"/>
      <c r="V61" s="117"/>
      <c r="W61" s="66"/>
      <c r="X61" s="116"/>
      <c r="Y61" s="117"/>
      <c r="Z61" s="123"/>
      <c r="AA61" s="116"/>
      <c r="AB61" s="117"/>
      <c r="AC61" s="66"/>
      <c r="AD61" s="111"/>
      <c r="AE61" s="66"/>
      <c r="AF61" s="117"/>
      <c r="AG61" s="66"/>
      <c r="AH61" s="118"/>
    </row>
    <row r="62" spans="1:34" ht="13.5" x14ac:dyDescent="0.25">
      <c r="A62" s="9"/>
      <c r="B62" s="9"/>
      <c r="C62" s="9"/>
      <c r="D62" s="9"/>
      <c r="G62" s="9"/>
      <c r="H62" s="9"/>
      <c r="I62" s="9"/>
      <c r="J62" s="9"/>
      <c r="K62" s="9"/>
      <c r="L62" s="9"/>
      <c r="M62" s="9"/>
      <c r="N62" s="9"/>
      <c r="O62" s="9"/>
      <c r="P62" s="9"/>
      <c r="Q62" s="9"/>
      <c r="S62" s="65"/>
      <c r="T62" s="65"/>
      <c r="U62" s="65"/>
      <c r="V62" s="65"/>
      <c r="W62" s="65"/>
      <c r="X62" s="65"/>
      <c r="Y62" s="65"/>
      <c r="Z62" s="65"/>
      <c r="AA62" s="65"/>
      <c r="AB62" s="65"/>
      <c r="AC62" s="65"/>
      <c r="AD62" s="65"/>
      <c r="AE62" s="65"/>
      <c r="AF62" s="65"/>
      <c r="AG62" s="65"/>
      <c r="AH62" s="65"/>
    </row>
    <row r="63" spans="1:34" x14ac:dyDescent="0.2">
      <c r="S63" s="65"/>
      <c r="T63" s="65"/>
      <c r="U63" s="65"/>
      <c r="V63" s="65"/>
      <c r="W63" s="65"/>
      <c r="X63" s="65"/>
      <c r="Y63" s="65"/>
      <c r="Z63" s="65"/>
      <c r="AA63" s="65"/>
      <c r="AB63" s="65"/>
      <c r="AC63" s="65"/>
      <c r="AD63" s="65"/>
      <c r="AE63" s="65"/>
      <c r="AF63" s="65"/>
      <c r="AG63" s="65"/>
      <c r="AH63" s="65"/>
    </row>
  </sheetData>
  <mergeCells count="6">
    <mergeCell ref="AA48:AE48"/>
    <mergeCell ref="AC7:AE7"/>
    <mergeCell ref="AD9:AE9"/>
    <mergeCell ref="T39:AE39"/>
    <mergeCell ref="T40:AE40"/>
    <mergeCell ref="AA44:AE44"/>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68073E31-C207-44FF-827E-4F7F8A3310F2}">
          <x14:formula1>
            <xm:f>'Drop down list '!$H$2:$H$32</xm:f>
          </x14:formula1>
          <xm:sqref>M12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72352-7549-4AD3-81FE-BC7ECF7356D5}">
  <sheetPr codeName="Sheet1113">
    <tabColor rgb="FFFFFF00"/>
    <pageSetUpPr fitToPage="1"/>
  </sheetPr>
  <dimension ref="A1:AH62"/>
  <sheetViews>
    <sheetView topLeftCell="A6" zoomScaleNormal="100" workbookViewId="0">
      <selection activeCell="J26" sqref="J26"/>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264</v>
      </c>
      <c r="R9" s="24"/>
      <c r="S9" s="24"/>
      <c r="T9" s="29" t="str">
        <f t="shared" si="0"/>
        <v>Jalan Tasik</v>
      </c>
      <c r="U9" s="24"/>
      <c r="V9" s="24"/>
      <c r="W9" s="24"/>
      <c r="X9" s="24"/>
      <c r="Y9" s="24"/>
      <c r="Z9" s="24"/>
      <c r="AA9" s="24"/>
      <c r="AB9" s="24"/>
      <c r="AC9" s="29" t="s">
        <v>18</v>
      </c>
      <c r="AD9" s="214" t="str">
        <f>M9</f>
        <v>DN202608-09</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14</v>
      </c>
      <c r="N12" s="145">
        <v>46259</v>
      </c>
      <c r="R12" s="24"/>
      <c r="S12" s="24"/>
      <c r="T12" s="29" t="str">
        <f t="shared" si="0"/>
        <v>East Malaysia</v>
      </c>
      <c r="U12" s="24"/>
      <c r="V12" s="24"/>
      <c r="W12" s="24"/>
      <c r="X12" s="24"/>
      <c r="Y12" s="24"/>
      <c r="Z12" s="24"/>
      <c r="AA12" s="24"/>
      <c r="AB12" s="24"/>
      <c r="AC12" s="147" t="s">
        <v>19</v>
      </c>
      <c r="AD12" s="30">
        <f>M12</f>
        <v>14</v>
      </c>
      <c r="AE12" s="146">
        <f>N12</f>
        <v>46259</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266</v>
      </c>
      <c r="D16" s="12"/>
      <c r="E16" s="12"/>
      <c r="F16" s="12"/>
      <c r="G16" s="12"/>
      <c r="H16" s="12"/>
      <c r="I16" s="12"/>
      <c r="J16" s="12"/>
      <c r="K16" s="12"/>
      <c r="L16" s="12"/>
      <c r="M16" s="12"/>
      <c r="N16" s="12"/>
      <c r="O16" s="12"/>
      <c r="P16" s="128"/>
      <c r="R16" s="35"/>
      <c r="S16" s="24"/>
      <c r="T16" s="29" t="str">
        <f t="shared" ref="T16:T23" si="1">C16</f>
        <v>Your Invoice No. 13253</v>
      </c>
      <c r="U16" s="29"/>
      <c r="V16" s="29"/>
      <c r="W16" s="29"/>
      <c r="X16" s="29"/>
      <c r="Y16" s="29"/>
      <c r="Z16" s="29"/>
      <c r="AA16" s="29"/>
      <c r="AB16" s="29"/>
      <c r="AC16" s="29"/>
      <c r="AD16" s="29"/>
      <c r="AE16" s="29"/>
      <c r="AF16" s="29"/>
      <c r="AG16" s="36"/>
      <c r="AH16" s="26"/>
    </row>
    <row r="17" spans="1:34" ht="12.75" customHeight="1" x14ac:dyDescent="0.2">
      <c r="A17" s="10"/>
      <c r="C17" s="213" t="s">
        <v>0</v>
      </c>
      <c r="D17" s="216"/>
      <c r="E17" s="216"/>
      <c r="F17" s="216"/>
      <c r="G17" s="216"/>
      <c r="I17" s="136" t="s">
        <v>243</v>
      </c>
      <c r="K17" s="229">
        <v>282123</v>
      </c>
      <c r="L17" s="229"/>
      <c r="M17" s="12"/>
      <c r="N17" s="12"/>
      <c r="O17" s="12"/>
      <c r="P17" s="128"/>
      <c r="R17" s="35"/>
      <c r="S17" s="24"/>
      <c r="T17" s="214" t="str">
        <f t="shared" si="1"/>
        <v>Bridgestone Singapore Pte Ltd</v>
      </c>
      <c r="U17" s="214"/>
      <c r="V17" s="214"/>
      <c r="W17" s="214"/>
      <c r="X17" s="214"/>
      <c r="Z17" s="12" t="str">
        <f>I17</f>
        <v xml:space="preserve">Contract No. </v>
      </c>
      <c r="AB17" s="215">
        <f>K17</f>
        <v>282123</v>
      </c>
      <c r="AC17" s="215"/>
      <c r="AD17" s="29"/>
      <c r="AE17" s="29"/>
      <c r="AF17" s="29"/>
      <c r="AG17" s="36"/>
      <c r="AH17" s="26"/>
    </row>
    <row r="18" spans="1:34" ht="12.75" customHeight="1" x14ac:dyDescent="0.2">
      <c r="A18" s="10"/>
      <c r="C18" s="12">
        <v>90</v>
      </c>
      <c r="D18" s="216" t="s">
        <v>1</v>
      </c>
      <c r="E18" s="216"/>
      <c r="F18" s="216"/>
      <c r="G18" s="216"/>
      <c r="H18" s="216"/>
      <c r="I18" s="125">
        <f>C18/16*20.16</f>
        <v>113.4</v>
      </c>
      <c r="J18" s="12" t="s">
        <v>36</v>
      </c>
      <c r="K18" s="144"/>
      <c r="L18" s="144" t="s">
        <v>6</v>
      </c>
      <c r="M18" s="56"/>
      <c r="N18" s="12"/>
      <c r="O18" s="12"/>
      <c r="P18" s="128"/>
      <c r="R18" s="35"/>
      <c r="S18" s="24"/>
      <c r="T18" s="29">
        <f>C18</f>
        <v>90</v>
      </c>
      <c r="U18" s="29" t="str">
        <f>D18</f>
        <v>Metal  Boxes (MB5)</v>
      </c>
      <c r="V18" s="29"/>
      <c r="W18" s="29"/>
      <c r="Z18" s="126">
        <f>I18</f>
        <v>113.4</v>
      </c>
      <c r="AA18" s="12" t="s">
        <v>37</v>
      </c>
      <c r="AB18" s="12"/>
      <c r="AC18" s="216" t="str">
        <f>L18</f>
        <v>SMR 20 Rubber</v>
      </c>
      <c r="AD18" s="216"/>
      <c r="AE18" s="216"/>
      <c r="AF18" s="29"/>
      <c r="AG18" s="36"/>
      <c r="AH18" s="26"/>
    </row>
    <row r="19" spans="1:34" ht="12.75" customHeight="1" x14ac:dyDescent="0.2">
      <c r="A19" s="10"/>
      <c r="C19" s="213" t="s">
        <v>237</v>
      </c>
      <c r="D19" s="216"/>
      <c r="E19" s="216"/>
      <c r="F19" s="216"/>
      <c r="G19" s="136" t="s">
        <v>249</v>
      </c>
      <c r="H19" s="12"/>
      <c r="I19" s="12"/>
      <c r="J19" s="12">
        <v>29</v>
      </c>
      <c r="K19" s="211">
        <v>46228</v>
      </c>
      <c r="L19" s="211"/>
      <c r="M19" s="12"/>
      <c r="N19" s="12"/>
      <c r="O19" s="12"/>
      <c r="P19" s="128"/>
      <c r="R19" s="35"/>
      <c r="S19" s="24"/>
      <c r="T19" s="147" t="str">
        <f>C19</f>
        <v>Ex Jade Star</v>
      </c>
      <c r="U19" s="147"/>
      <c r="V19" s="134"/>
      <c r="W19" s="134"/>
      <c r="X19" s="29" t="str">
        <f>G19</f>
        <v>Voy 2608W    Arrd</v>
      </c>
      <c r="Y19" s="29"/>
      <c r="Z19" s="29"/>
      <c r="AA19" s="29">
        <f>J19</f>
        <v>29</v>
      </c>
      <c r="AB19" s="212">
        <f>K19</f>
        <v>46228</v>
      </c>
      <c r="AC19" s="212"/>
      <c r="AD19" s="29"/>
      <c r="AE19" s="29"/>
      <c r="AF19" s="29"/>
      <c r="AG19" s="36"/>
      <c r="AH19" s="26"/>
    </row>
    <row r="20" spans="1:34" ht="12.75" customHeight="1" x14ac:dyDescent="0.2">
      <c r="A20" s="10"/>
      <c r="C20" s="136" t="s">
        <v>251</v>
      </c>
      <c r="D20" s="12"/>
      <c r="E20" s="12"/>
      <c r="F20" s="12"/>
      <c r="G20" s="12"/>
      <c r="H20" s="144"/>
      <c r="I20" s="153" t="s">
        <v>252</v>
      </c>
      <c r="J20" s="12" t="s">
        <v>3</v>
      </c>
      <c r="M20" s="12"/>
      <c r="N20" s="12"/>
      <c r="O20" s="12"/>
      <c r="P20" s="128"/>
      <c r="R20" s="35"/>
      <c r="S20" s="24"/>
      <c r="T20" s="29" t="str">
        <f>C20</f>
        <v>B/L No. JJST2608W-BKI03</v>
      </c>
      <c r="U20" s="29"/>
      <c r="V20" s="29"/>
      <c r="W20" s="29"/>
      <c r="X20" s="29"/>
      <c r="Z20" s="124" t="str">
        <f>I20</f>
        <v>(140/26</v>
      </c>
      <c r="AA20" s="29" t="str">
        <f>J20</f>
        <v>Tuaran)</v>
      </c>
      <c r="AB20" s="24"/>
      <c r="AC20" s="29"/>
      <c r="AD20" s="29"/>
      <c r="AE20" s="29"/>
      <c r="AF20" s="29"/>
      <c r="AG20" s="36"/>
      <c r="AH20" s="26"/>
    </row>
    <row r="21" spans="1:34" ht="12.75" customHeight="1" x14ac:dyDescent="0.2">
      <c r="A21" s="10"/>
      <c r="C21" s="136" t="s">
        <v>250</v>
      </c>
      <c r="D21" s="12"/>
      <c r="E21" s="12"/>
      <c r="F21" s="12"/>
      <c r="G21" s="12"/>
      <c r="H21" s="12"/>
      <c r="I21" s="12"/>
      <c r="J21" s="12"/>
      <c r="K21" s="12"/>
      <c r="L21" s="12"/>
      <c r="M21" s="12"/>
      <c r="N21" s="12"/>
      <c r="O21" s="12"/>
      <c r="P21" s="128"/>
      <c r="R21" s="35"/>
      <c r="S21" s="24"/>
      <c r="T21" s="29" t="str">
        <f t="shared" si="1"/>
        <v>Shipped per Tysla Voy AF619</v>
      </c>
      <c r="U21" s="29"/>
      <c r="V21" s="29"/>
      <c r="W21" s="29"/>
      <c r="X21" s="29"/>
      <c r="Y21" s="29"/>
      <c r="Z21" s="29"/>
      <c r="AA21" s="29"/>
      <c r="AB21" s="29"/>
      <c r="AC21" s="29"/>
      <c r="AD21" s="29"/>
      <c r="AE21" s="29"/>
      <c r="AF21" s="29"/>
      <c r="AG21" s="36"/>
      <c r="AH21" s="26"/>
    </row>
    <row r="22" spans="1:34" ht="12.75" customHeight="1" x14ac:dyDescent="0.2">
      <c r="A22" s="10"/>
      <c r="C22" s="213" t="s">
        <v>87</v>
      </c>
      <c r="D22" s="213"/>
      <c r="E22" s="213"/>
      <c r="F22" s="12"/>
      <c r="G22" s="12"/>
      <c r="H22" s="12"/>
      <c r="I22" s="12"/>
      <c r="J22" s="12"/>
      <c r="K22" s="12"/>
      <c r="L22" s="12"/>
      <c r="M22" s="12"/>
      <c r="N22" s="12"/>
      <c r="O22" s="12"/>
      <c r="P22" s="128"/>
      <c r="R22" s="35"/>
      <c r="S22" s="24"/>
      <c r="T22" s="29" t="str">
        <f t="shared" si="1"/>
        <v>To Brunswick, USA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12</v>
      </c>
      <c r="F23" s="211">
        <v>46259</v>
      </c>
      <c r="G23" s="211"/>
      <c r="H23" s="12"/>
      <c r="I23" s="12"/>
      <c r="J23" s="12"/>
      <c r="K23" s="12"/>
      <c r="L23" s="12"/>
      <c r="M23" s="12"/>
      <c r="N23" s="12"/>
      <c r="O23" s="12"/>
      <c r="P23" s="128"/>
      <c r="R23" s="35"/>
      <c r="S23" s="24"/>
      <c r="T23" s="29" t="str">
        <f t="shared" si="1"/>
        <v>B/L dated</v>
      </c>
      <c r="U23" s="29"/>
      <c r="V23" s="29">
        <f>E23</f>
        <v>12</v>
      </c>
      <c r="W23" s="212">
        <f>F23</f>
        <v>46259</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2">
        <v>58.5</v>
      </c>
      <c r="K26" s="2" t="s">
        <v>41</v>
      </c>
      <c r="L26" s="12"/>
      <c r="M26" s="12" t="s">
        <v>20</v>
      </c>
      <c r="N26" s="14">
        <f>I18*J26</f>
        <v>6633.9000000000005</v>
      </c>
      <c r="O26" s="14"/>
      <c r="P26" s="128"/>
      <c r="R26" s="35"/>
      <c r="S26" s="24"/>
      <c r="T26" s="29" t="str">
        <f>C26</f>
        <v>Transhipment Charge</v>
      </c>
      <c r="U26" s="24"/>
      <c r="V26" s="29"/>
      <c r="W26" s="29"/>
      <c r="X26" s="29"/>
      <c r="Y26" s="29"/>
      <c r="Z26" s="58" t="s">
        <v>40</v>
      </c>
      <c r="AA26" s="59">
        <f>J26</f>
        <v>58.5</v>
      </c>
      <c r="AB26" s="2" t="s">
        <v>41</v>
      </c>
      <c r="AC26" s="29"/>
      <c r="AD26" s="29" t="s">
        <v>20</v>
      </c>
      <c r="AE26" s="39">
        <f>N26</f>
        <v>6633.9000000000005</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6633.9000000000005</v>
      </c>
      <c r="O31" s="14"/>
      <c r="P31" s="128"/>
      <c r="R31" s="35"/>
      <c r="S31" s="24"/>
      <c r="T31" s="24"/>
      <c r="U31" s="29"/>
      <c r="V31" s="29"/>
      <c r="W31" s="29"/>
      <c r="X31" s="29"/>
      <c r="Y31" s="29"/>
      <c r="Z31" s="29"/>
      <c r="AA31" s="29"/>
      <c r="AB31" s="29"/>
      <c r="AC31" s="29"/>
      <c r="AD31" s="29" t="s">
        <v>20</v>
      </c>
      <c r="AE31" s="39">
        <f>SUM(AE26:AE28)</f>
        <v>6633.9000000000005</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183</v>
      </c>
      <c r="F35" s="216"/>
      <c r="G35" s="216"/>
      <c r="H35" s="216"/>
      <c r="I35" s="216"/>
      <c r="J35" s="216"/>
      <c r="K35" s="216"/>
      <c r="L35" s="216"/>
      <c r="M35" s="216"/>
      <c r="N35" s="216"/>
      <c r="O35" s="12"/>
      <c r="P35" s="128"/>
      <c r="R35" s="35"/>
      <c r="S35" s="24"/>
      <c r="T35" s="29" t="str">
        <f>C35</f>
        <v>Singapore Dollars</v>
      </c>
      <c r="U35" s="24"/>
      <c r="V35" s="214" t="str">
        <f>E35</f>
        <v>Six Thousand One Hundred Twenty Three and cents Sixty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43"/>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c r="AB55" s="24"/>
      <c r="AC55" s="45" t="s">
        <v>45</v>
      </c>
      <c r="AD55" s="24"/>
      <c r="AE55" s="23">
        <f>SUM(U56:U61)</f>
        <v>291.06000000000006</v>
      </c>
      <c r="AF55" s="24"/>
      <c r="AG55" s="24"/>
      <c r="AH55" s="61"/>
    </row>
    <row r="56" spans="1:34" ht="11.65" customHeight="1" x14ac:dyDescent="0.25">
      <c r="A56" s="9"/>
      <c r="B56" s="9"/>
      <c r="D56" s="9"/>
      <c r="K56" s="9"/>
      <c r="L56" s="9"/>
      <c r="R56" s="24"/>
      <c r="S56" s="24"/>
      <c r="T56" s="48" t="s">
        <v>46</v>
      </c>
      <c r="U56" s="55">
        <f>T18*1.47*1.1</f>
        <v>145.53000000000003</v>
      </c>
      <c r="V56" s="43"/>
      <c r="W56" s="46"/>
      <c r="X56" s="43"/>
      <c r="Y56" s="43"/>
      <c r="Z56" s="49" t="s">
        <v>47</v>
      </c>
      <c r="AA56" s="22">
        <v>20</v>
      </c>
      <c r="AB56" s="24"/>
      <c r="AC56" s="45" t="s">
        <v>48</v>
      </c>
      <c r="AD56" s="24"/>
      <c r="AE56" s="23">
        <f>SUM(X57:X61)</f>
        <v>567</v>
      </c>
      <c r="AF56" s="24"/>
      <c r="AG56" s="24"/>
      <c r="AH56" s="61"/>
    </row>
    <row r="57" spans="1:34" ht="11.65" customHeight="1" x14ac:dyDescent="0.25">
      <c r="A57" s="9"/>
      <c r="B57" s="9"/>
      <c r="D57" s="9"/>
      <c r="K57" s="9"/>
      <c r="L57" s="9"/>
      <c r="R57" s="24"/>
      <c r="S57" s="24"/>
      <c r="T57" s="49" t="s">
        <v>49</v>
      </c>
      <c r="U57" s="21"/>
      <c r="V57" s="24"/>
      <c r="W57" s="48" t="s">
        <v>134</v>
      </c>
      <c r="X57" s="21"/>
      <c r="Y57" s="43"/>
      <c r="Z57" s="49" t="s">
        <v>50</v>
      </c>
      <c r="AA57" s="22"/>
      <c r="AB57" s="24"/>
      <c r="AC57" s="45" t="s">
        <v>51</v>
      </c>
      <c r="AD57" s="24"/>
      <c r="AE57" s="23">
        <f>SUM(AA55:AA61)</f>
        <v>155</v>
      </c>
      <c r="AF57" s="24"/>
      <c r="AG57" s="24"/>
      <c r="AH57" s="61"/>
    </row>
    <row r="58" spans="1:34" ht="11.65" customHeight="1" x14ac:dyDescent="0.25">
      <c r="A58" s="9"/>
      <c r="B58" s="9"/>
      <c r="D58" s="9"/>
      <c r="F58" s="9"/>
      <c r="G58" s="9"/>
      <c r="H58" s="9"/>
      <c r="I58" s="9"/>
      <c r="K58" s="9"/>
      <c r="L58" s="9"/>
      <c r="N58" s="20"/>
      <c r="O58" s="9"/>
      <c r="R58" s="24"/>
      <c r="S58" s="24"/>
      <c r="T58" s="49" t="s">
        <v>52</v>
      </c>
      <c r="U58" s="55">
        <f>T18*1.47*1.1</f>
        <v>145.53000000000003</v>
      </c>
      <c r="V58" s="24"/>
      <c r="W58" s="48" t="s">
        <v>53</v>
      </c>
      <c r="X58" s="21">
        <f>Z18*5</f>
        <v>567</v>
      </c>
      <c r="Y58" s="43"/>
      <c r="Z58" s="49" t="s">
        <v>54</v>
      </c>
      <c r="AA58" s="22">
        <f>(1.5*16)*(T18/16)</f>
        <v>135</v>
      </c>
      <c r="AB58" s="24"/>
      <c r="AC58" s="50" t="s">
        <v>55</v>
      </c>
      <c r="AD58" s="51"/>
      <c r="AE58" s="22">
        <f>SUM(AE55:AE57)</f>
        <v>1013.0600000000001</v>
      </c>
      <c r="AF58" s="24"/>
      <c r="AG58" s="24"/>
      <c r="AH58" s="26"/>
    </row>
    <row r="59" spans="1:34" ht="11.65" customHeight="1" x14ac:dyDescent="0.25">
      <c r="A59" s="9"/>
      <c r="B59" s="9"/>
      <c r="D59" s="9"/>
      <c r="F59" s="9"/>
      <c r="G59" s="9"/>
      <c r="H59" s="9"/>
      <c r="I59" s="9"/>
      <c r="K59" s="9"/>
      <c r="L59" s="9"/>
      <c r="R59" s="24"/>
      <c r="S59" s="24"/>
      <c r="T59" s="54" t="s">
        <v>56</v>
      </c>
      <c r="U59" s="22"/>
      <c r="V59" s="24"/>
      <c r="W59" s="49" t="s">
        <v>57</v>
      </c>
      <c r="X59" s="22"/>
      <c r="Y59" s="52"/>
      <c r="Z59" s="138" t="s">
        <v>58</v>
      </c>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c r="V60" s="24"/>
      <c r="W60" s="49" t="s">
        <v>60</v>
      </c>
      <c r="X60" s="22"/>
      <c r="Y60" s="52"/>
      <c r="Z60" s="49" t="s">
        <v>61</v>
      </c>
      <c r="AA60" s="22"/>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c r="V61" s="24"/>
      <c r="W61" s="49" t="s">
        <v>63</v>
      </c>
      <c r="X61" s="22">
        <v>0</v>
      </c>
      <c r="Y61" s="52"/>
      <c r="Z61" s="49" t="s">
        <v>64</v>
      </c>
      <c r="AA61" s="22">
        <v>0</v>
      </c>
      <c r="AB61" s="24"/>
      <c r="AC61" s="53" t="s">
        <v>65</v>
      </c>
      <c r="AD61" s="38"/>
      <c r="AE61" s="21">
        <f>AE31-AE58</f>
        <v>5620.84</v>
      </c>
      <c r="AF61" s="24"/>
      <c r="AG61" s="24"/>
      <c r="AH61" s="61"/>
    </row>
    <row r="62" spans="1:34" ht="13.5" x14ac:dyDescent="0.25">
      <c r="A62" s="9"/>
      <c r="B62" s="9"/>
      <c r="C62" s="9"/>
      <c r="D62" s="9"/>
      <c r="G62" s="9"/>
      <c r="H62" s="9"/>
      <c r="I62" s="9"/>
      <c r="J62" s="9"/>
      <c r="K62" s="9"/>
      <c r="L62" s="9"/>
      <c r="M62" s="9"/>
      <c r="N62" s="9"/>
      <c r="O62" s="9"/>
      <c r="P62" s="9"/>
      <c r="Q62" s="9"/>
    </row>
  </sheetData>
  <mergeCells count="20">
    <mergeCell ref="AA44:AE44"/>
    <mergeCell ref="AA48:AE48"/>
    <mergeCell ref="F23:G23"/>
    <mergeCell ref="W23:X23"/>
    <mergeCell ref="E35:N35"/>
    <mergeCell ref="V35:AE35"/>
    <mergeCell ref="T39:AE39"/>
    <mergeCell ref="T40:AE40"/>
    <mergeCell ref="C22:E22"/>
    <mergeCell ref="AC7:AE7"/>
    <mergeCell ref="AD9:AE9"/>
    <mergeCell ref="C17:G17"/>
    <mergeCell ref="K17:L17"/>
    <mergeCell ref="T17:X17"/>
    <mergeCell ref="AB17:AC17"/>
    <mergeCell ref="D18:H18"/>
    <mergeCell ref="AC18:AE18"/>
    <mergeCell ref="C19:F19"/>
    <mergeCell ref="K19:L19"/>
    <mergeCell ref="AB19:AC19"/>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B751D10B-1426-4781-B571-B25BF13A415B}">
          <x14:formula1>
            <xm:f>'Drop down list '!$D$2:$D$3</xm:f>
          </x14:formula1>
          <xm:sqref>D18:H18</xm:sqref>
        </x14:dataValidation>
        <x14:dataValidation type="list" allowBlank="1" showInputMessage="1" showErrorMessage="1" xr:uid="{8FAAC97F-EFF0-4A5D-A955-A625D4A1ECBC}">
          <x14:formula1>
            <xm:f>'Drop down list '!$E$2:$E$4</xm:f>
          </x14:formula1>
          <xm:sqref>L18</xm:sqref>
        </x14:dataValidation>
        <x14:dataValidation type="list" allowBlank="1" showInputMessage="1" showErrorMessage="1" xr:uid="{23CA267D-2965-4A4A-AEEE-721C1332A0FE}">
          <x14:formula1>
            <xm:f>'Drop down list '!$F$2:$F$4</xm:f>
          </x14:formula1>
          <xm:sqref>J20</xm:sqref>
        </x14:dataValidation>
        <x14:dataValidation type="list" allowBlank="1" showInputMessage="1" showErrorMessage="1" xr:uid="{F486CEAC-862A-4942-8A53-DA081B8710C3}">
          <x14:formula1>
            <xm:f>'Drop down list '!$H$2:$H$32</xm:f>
          </x14:formula1>
          <xm:sqref>M12 J19 E23</xm:sqref>
        </x14:dataValidation>
        <x14:dataValidation type="list" allowBlank="1" showInputMessage="1" showErrorMessage="1" xr:uid="{731B5349-1421-4805-AE09-E500B6F7FFFC}">
          <x14:formula1>
            <xm:f>'Drop down list '!$A$2:$A$8</xm:f>
          </x14:formula1>
          <xm:sqref>C17:G17</xm:sqref>
        </x14:dataValidation>
        <x14:dataValidation type="list" allowBlank="1" showInputMessage="1" showErrorMessage="1" xr:uid="{05312DA7-7F7E-48DC-BE7B-756F545B5465}">
          <x14:formula1>
            <xm:f>'Drop down list '!$B$2:$B$6</xm:f>
          </x14:formula1>
          <xm:sqref>C19:F19</xm:sqref>
        </x14:dataValidation>
        <x14:dataValidation type="list" allowBlank="1" showInputMessage="1" showErrorMessage="1" xr:uid="{F279DFB5-2529-4A5B-99B1-17B424C6410E}">
          <x14:formula1>
            <xm:f>'Drop down list '!$G$2:$G$36</xm:f>
          </x14:formula1>
          <xm:sqref>C22:E22</xm:sqref>
        </x14:dataValidation>
        <x14:dataValidation type="list" allowBlank="1" showInputMessage="1" showErrorMessage="1" xr:uid="{47D7FC40-D0DB-4A8B-9675-88057CB111BE}">
          <x14:formula1>
            <xm:f>'Drop down list '!$C$2:$C$16</xm:f>
          </x14:formula1>
          <xm:sqref>C18</xm:sqref>
        </x14:dataValidation>
        <x14:dataValidation type="list" allowBlank="1" showInputMessage="1" showErrorMessage="1" xr:uid="{C9F3939C-45E5-4E20-B0B6-2420C06D97DD}">
          <x14:formula1>
            <xm:f>'Drop down list '!$I$2:$I$4</xm:f>
          </x14:formula1>
          <xm:sqref>F23:G23 K19:L19 N12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69EB-4A8C-45FF-8881-BF16D09A99B9}">
  <sheetPr codeName="Sheet1127">
    <tabColor rgb="FFFFFF00"/>
    <pageSetUpPr fitToPage="1"/>
  </sheetPr>
  <dimension ref="A1:AH62"/>
  <sheetViews>
    <sheetView zoomScaleNormal="100" workbookViewId="0">
      <selection activeCell="J26" sqref="J26"/>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265</v>
      </c>
      <c r="R9" s="24"/>
      <c r="S9" s="24"/>
      <c r="T9" s="29" t="str">
        <f t="shared" si="0"/>
        <v>Jalan Tasik</v>
      </c>
      <c r="U9" s="24"/>
      <c r="V9" s="24"/>
      <c r="W9" s="24"/>
      <c r="X9" s="24"/>
      <c r="Y9" s="24"/>
      <c r="Z9" s="24"/>
      <c r="AA9" s="24"/>
      <c r="AB9" s="24"/>
      <c r="AC9" s="29" t="s">
        <v>18</v>
      </c>
      <c r="AD9" s="214" t="str">
        <f>M9</f>
        <v>DN202608-23</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14</v>
      </c>
      <c r="N12" s="145">
        <v>46259</v>
      </c>
      <c r="R12" s="24"/>
      <c r="S12" s="24"/>
      <c r="T12" s="29" t="str">
        <f t="shared" si="0"/>
        <v>East Malaysia</v>
      </c>
      <c r="U12" s="24"/>
      <c r="V12" s="24"/>
      <c r="W12" s="24"/>
      <c r="X12" s="24"/>
      <c r="Y12" s="24"/>
      <c r="Z12" s="24"/>
      <c r="AA12" s="24"/>
      <c r="AB12" s="24"/>
      <c r="AC12" s="147" t="s">
        <v>19</v>
      </c>
      <c r="AD12" s="30">
        <f>M12</f>
        <v>14</v>
      </c>
      <c r="AE12" s="146">
        <f>N12</f>
        <v>46259</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267</v>
      </c>
      <c r="D16" s="12"/>
      <c r="E16" s="12"/>
      <c r="F16" s="12"/>
      <c r="G16" s="12"/>
      <c r="H16" s="12"/>
      <c r="I16" s="12"/>
      <c r="J16" s="12"/>
      <c r="K16" s="12"/>
      <c r="L16" s="12"/>
      <c r="M16" s="12"/>
      <c r="N16" s="12"/>
      <c r="O16" s="12"/>
      <c r="P16" s="128"/>
      <c r="R16" s="35"/>
      <c r="S16" s="24"/>
      <c r="T16" s="29" t="str">
        <f t="shared" ref="T16:T23" si="1">C16</f>
        <v>Your Invoice No. 13267</v>
      </c>
      <c r="U16" s="29"/>
      <c r="V16" s="29"/>
      <c r="W16" s="29"/>
      <c r="X16" s="29"/>
      <c r="Y16" s="29"/>
      <c r="Z16" s="29"/>
      <c r="AA16" s="29"/>
      <c r="AB16" s="29"/>
      <c r="AC16" s="29"/>
      <c r="AD16" s="29"/>
      <c r="AE16" s="29"/>
      <c r="AF16" s="29"/>
      <c r="AG16" s="36"/>
      <c r="AH16" s="26"/>
    </row>
    <row r="17" spans="1:34" ht="12.75" customHeight="1" x14ac:dyDescent="0.2">
      <c r="A17" s="10"/>
      <c r="C17" s="213" t="s">
        <v>0</v>
      </c>
      <c r="D17" s="216"/>
      <c r="E17" s="216"/>
      <c r="F17" s="216"/>
      <c r="G17" s="216"/>
      <c r="I17" s="136" t="s">
        <v>243</v>
      </c>
      <c r="K17" s="229">
        <v>282139</v>
      </c>
      <c r="L17" s="229"/>
      <c r="M17" s="12"/>
      <c r="N17" s="12"/>
      <c r="O17" s="12"/>
      <c r="P17" s="128"/>
      <c r="R17" s="35"/>
      <c r="S17" s="24"/>
      <c r="T17" s="214" t="str">
        <f t="shared" si="1"/>
        <v>Bridgestone Singapore Pte Ltd</v>
      </c>
      <c r="U17" s="214"/>
      <c r="V17" s="214"/>
      <c r="W17" s="214"/>
      <c r="X17" s="214"/>
      <c r="Z17" s="12" t="str">
        <f>I17</f>
        <v xml:space="preserve">Contract No. </v>
      </c>
      <c r="AB17" s="215">
        <f>K17</f>
        <v>282139</v>
      </c>
      <c r="AC17" s="215"/>
      <c r="AD17" s="29"/>
      <c r="AE17" s="29"/>
      <c r="AF17" s="29"/>
      <c r="AG17" s="36"/>
      <c r="AH17" s="26"/>
    </row>
    <row r="18" spans="1:34" ht="12.75" customHeight="1" x14ac:dyDescent="0.2">
      <c r="A18" s="10"/>
      <c r="C18" s="12">
        <v>60</v>
      </c>
      <c r="D18" s="216" t="s">
        <v>1</v>
      </c>
      <c r="E18" s="216"/>
      <c r="F18" s="216"/>
      <c r="G18" s="216"/>
      <c r="H18" s="216"/>
      <c r="I18" s="125">
        <f>C18/16*20.16</f>
        <v>75.599999999999994</v>
      </c>
      <c r="J18" s="12" t="s">
        <v>36</v>
      </c>
      <c r="K18" s="144"/>
      <c r="L18" s="144" t="s">
        <v>6</v>
      </c>
      <c r="M18" s="56"/>
      <c r="N18" s="12"/>
      <c r="O18" s="12"/>
      <c r="P18" s="128"/>
      <c r="R18" s="35"/>
      <c r="S18" s="24"/>
      <c r="T18" s="29">
        <f>C18</f>
        <v>60</v>
      </c>
      <c r="U18" s="29" t="str">
        <f>D18</f>
        <v>Metal  Boxes (MB5)</v>
      </c>
      <c r="V18" s="29"/>
      <c r="W18" s="29"/>
      <c r="Z18" s="126">
        <f>I18</f>
        <v>75.599999999999994</v>
      </c>
      <c r="AA18" s="12" t="s">
        <v>37</v>
      </c>
      <c r="AB18" s="12"/>
      <c r="AC18" s="216" t="str">
        <f>L18</f>
        <v>SMR 20 Rubber</v>
      </c>
      <c r="AD18" s="216"/>
      <c r="AE18" s="216"/>
      <c r="AF18" s="29"/>
      <c r="AG18" s="36"/>
      <c r="AH18" s="26"/>
    </row>
    <row r="19" spans="1:34" ht="12.75" customHeight="1" x14ac:dyDescent="0.2">
      <c r="A19" s="10"/>
      <c r="C19" s="213" t="s">
        <v>237</v>
      </c>
      <c r="D19" s="216"/>
      <c r="E19" s="216"/>
      <c r="F19" s="216"/>
      <c r="G19" s="136" t="s">
        <v>249</v>
      </c>
      <c r="H19" s="12"/>
      <c r="I19" s="12"/>
      <c r="J19" s="12">
        <v>29</v>
      </c>
      <c r="K19" s="211">
        <v>46228</v>
      </c>
      <c r="L19" s="211"/>
      <c r="M19" s="12"/>
      <c r="N19" s="12"/>
      <c r="O19" s="12"/>
      <c r="P19" s="128"/>
      <c r="R19" s="35"/>
      <c r="S19" s="24"/>
      <c r="T19" s="147" t="str">
        <f>C19</f>
        <v>Ex Jade Star</v>
      </c>
      <c r="U19" s="147"/>
      <c r="V19" s="134"/>
      <c r="W19" s="134"/>
      <c r="X19" s="29" t="str">
        <f>G19</f>
        <v>Voy 2608W    Arrd</v>
      </c>
      <c r="Y19" s="29"/>
      <c r="Z19" s="29"/>
      <c r="AA19" s="29">
        <f>J19</f>
        <v>29</v>
      </c>
      <c r="AB19" s="212">
        <f>K19</f>
        <v>46228</v>
      </c>
      <c r="AC19" s="212"/>
      <c r="AD19" s="29"/>
      <c r="AE19" s="29"/>
      <c r="AF19" s="29"/>
      <c r="AG19" s="36"/>
      <c r="AH19" s="26"/>
    </row>
    <row r="20" spans="1:34" ht="12.75" customHeight="1" x14ac:dyDescent="0.2">
      <c r="A20" s="10"/>
      <c r="C20" s="136" t="s">
        <v>268</v>
      </c>
      <c r="D20" s="12"/>
      <c r="E20" s="12"/>
      <c r="F20" s="12"/>
      <c r="G20" s="12"/>
      <c r="H20" s="144"/>
      <c r="I20" s="153" t="s">
        <v>269</v>
      </c>
      <c r="J20" s="12" t="s">
        <v>3</v>
      </c>
      <c r="M20" s="12"/>
      <c r="N20" s="12"/>
      <c r="O20" s="12"/>
      <c r="P20" s="128"/>
      <c r="R20" s="35"/>
      <c r="S20" s="24"/>
      <c r="T20" s="29" t="str">
        <f>C20</f>
        <v>B/L No. JJST2608W-BKI17</v>
      </c>
      <c r="U20" s="29"/>
      <c r="V20" s="29"/>
      <c r="W20" s="29"/>
      <c r="X20" s="29"/>
      <c r="Z20" s="124" t="str">
        <f>I20</f>
        <v>(154/26</v>
      </c>
      <c r="AA20" s="29" t="str">
        <f>J20</f>
        <v>Tuaran)</v>
      </c>
      <c r="AB20" s="24"/>
      <c r="AC20" s="29"/>
      <c r="AD20" s="29"/>
      <c r="AE20" s="29"/>
      <c r="AF20" s="29"/>
      <c r="AG20" s="36"/>
      <c r="AH20" s="26"/>
    </row>
    <row r="21" spans="1:34" ht="12.75" customHeight="1" x14ac:dyDescent="0.2">
      <c r="A21" s="10"/>
      <c r="C21" s="136" t="s">
        <v>250</v>
      </c>
      <c r="D21" s="12"/>
      <c r="E21" s="12"/>
      <c r="F21" s="12"/>
      <c r="G21" s="12"/>
      <c r="H21" s="12"/>
      <c r="I21" s="12"/>
      <c r="J21" s="12"/>
      <c r="K21" s="12"/>
      <c r="L21" s="12"/>
      <c r="M21" s="12"/>
      <c r="N21" s="12"/>
      <c r="O21" s="12"/>
      <c r="P21" s="128"/>
      <c r="R21" s="35"/>
      <c r="S21" s="24"/>
      <c r="T21" s="29" t="str">
        <f t="shared" si="1"/>
        <v>Shipped per Tysla Voy AF619</v>
      </c>
      <c r="U21" s="29"/>
      <c r="V21" s="29"/>
      <c r="W21" s="29"/>
      <c r="X21" s="29"/>
      <c r="Y21" s="29"/>
      <c r="Z21" s="29"/>
      <c r="AA21" s="29"/>
      <c r="AB21" s="29"/>
      <c r="AC21" s="29"/>
      <c r="AD21" s="29"/>
      <c r="AE21" s="29"/>
      <c r="AF21" s="29"/>
      <c r="AG21" s="36"/>
      <c r="AH21" s="26"/>
    </row>
    <row r="22" spans="1:34" ht="12.75" customHeight="1" x14ac:dyDescent="0.2">
      <c r="A22" s="10"/>
      <c r="C22" s="213" t="s">
        <v>87</v>
      </c>
      <c r="D22" s="213"/>
      <c r="E22" s="213"/>
      <c r="F22" s="12"/>
      <c r="G22" s="12"/>
      <c r="H22" s="12"/>
      <c r="I22" s="12"/>
      <c r="J22" s="12"/>
      <c r="K22" s="12"/>
      <c r="L22" s="12"/>
      <c r="M22" s="12"/>
      <c r="N22" s="12"/>
      <c r="O22" s="12"/>
      <c r="P22" s="128"/>
      <c r="R22" s="35"/>
      <c r="S22" s="24"/>
      <c r="T22" s="29" t="str">
        <f t="shared" si="1"/>
        <v>To Brunswick, USA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12</v>
      </c>
      <c r="F23" s="211">
        <v>46259</v>
      </c>
      <c r="G23" s="211"/>
      <c r="H23" s="12"/>
      <c r="I23" s="12"/>
      <c r="J23" s="12"/>
      <c r="K23" s="12"/>
      <c r="L23" s="12"/>
      <c r="M23" s="12"/>
      <c r="N23" s="12"/>
      <c r="O23" s="12"/>
      <c r="P23" s="128"/>
      <c r="R23" s="35"/>
      <c r="S23" s="24"/>
      <c r="T23" s="29" t="str">
        <f t="shared" si="1"/>
        <v>B/L dated</v>
      </c>
      <c r="U23" s="29"/>
      <c r="V23" s="29">
        <f>E23</f>
        <v>12</v>
      </c>
      <c r="W23" s="212">
        <f>F23</f>
        <v>46259</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2">
        <v>58.5</v>
      </c>
      <c r="K26" s="2" t="s">
        <v>41</v>
      </c>
      <c r="L26" s="12"/>
      <c r="M26" s="12" t="s">
        <v>20</v>
      </c>
      <c r="N26" s="14">
        <f>I18*J26</f>
        <v>4422.5999999999995</v>
      </c>
      <c r="O26" s="14"/>
      <c r="P26" s="128"/>
      <c r="R26" s="35"/>
      <c r="S26" s="24"/>
      <c r="T26" s="29" t="str">
        <f>C26</f>
        <v>Transhipment Charge</v>
      </c>
      <c r="U26" s="24"/>
      <c r="V26" s="29"/>
      <c r="W26" s="29"/>
      <c r="X26" s="29"/>
      <c r="Y26" s="29"/>
      <c r="Z26" s="58" t="s">
        <v>40</v>
      </c>
      <c r="AA26" s="59">
        <f>J26</f>
        <v>58.5</v>
      </c>
      <c r="AB26" s="2" t="s">
        <v>41</v>
      </c>
      <c r="AC26" s="29"/>
      <c r="AD26" s="29" t="s">
        <v>20</v>
      </c>
      <c r="AE26" s="39">
        <f>N26</f>
        <v>4422.5999999999995</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4422.5999999999995</v>
      </c>
      <c r="O31" s="14"/>
      <c r="P31" s="128"/>
      <c r="R31" s="35"/>
      <c r="S31" s="24"/>
      <c r="T31" s="24"/>
      <c r="U31" s="29"/>
      <c r="V31" s="29"/>
      <c r="W31" s="29"/>
      <c r="X31" s="29"/>
      <c r="Y31" s="29"/>
      <c r="Z31" s="29"/>
      <c r="AA31" s="29"/>
      <c r="AB31" s="29"/>
      <c r="AC31" s="29"/>
      <c r="AD31" s="29" t="s">
        <v>20</v>
      </c>
      <c r="AE31" s="39">
        <f>SUM(AE26:AE28)</f>
        <v>4422.5999999999995</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270</v>
      </c>
      <c r="F35" s="216"/>
      <c r="G35" s="216"/>
      <c r="H35" s="216"/>
      <c r="I35" s="216"/>
      <c r="J35" s="216"/>
      <c r="K35" s="216"/>
      <c r="L35" s="216"/>
      <c r="M35" s="216"/>
      <c r="N35" s="216"/>
      <c r="O35" s="12"/>
      <c r="P35" s="128"/>
      <c r="R35" s="35"/>
      <c r="S35" s="24"/>
      <c r="T35" s="29" t="str">
        <f>C35</f>
        <v>Singapore Dollars</v>
      </c>
      <c r="U35" s="24"/>
      <c r="V35" s="214" t="str">
        <f>E35</f>
        <v>Four Thousand Eighty Two and cents Forty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43"/>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c r="AB55" s="24"/>
      <c r="AC55" s="45" t="s">
        <v>45</v>
      </c>
      <c r="AD55" s="24"/>
      <c r="AE55" s="23">
        <f>SUM(U56:U61)</f>
        <v>194.04000000000002</v>
      </c>
      <c r="AF55" s="24"/>
      <c r="AG55" s="24"/>
      <c r="AH55" s="61"/>
    </row>
    <row r="56" spans="1:34" ht="11.65" customHeight="1" x14ac:dyDescent="0.25">
      <c r="A56" s="9"/>
      <c r="B56" s="9"/>
      <c r="D56" s="9"/>
      <c r="K56" s="9"/>
      <c r="L56" s="9"/>
      <c r="R56" s="24"/>
      <c r="S56" s="24"/>
      <c r="T56" s="48" t="s">
        <v>46</v>
      </c>
      <c r="U56" s="55">
        <f>T18*1.47*1.1</f>
        <v>97.02000000000001</v>
      </c>
      <c r="V56" s="43"/>
      <c r="W56" s="46"/>
      <c r="X56" s="43"/>
      <c r="Y56" s="43"/>
      <c r="Z56" s="49" t="s">
        <v>47</v>
      </c>
      <c r="AA56" s="22">
        <v>20</v>
      </c>
      <c r="AB56" s="24"/>
      <c r="AC56" s="45" t="s">
        <v>48</v>
      </c>
      <c r="AD56" s="24"/>
      <c r="AE56" s="23">
        <f>SUM(X57:X61)</f>
        <v>378</v>
      </c>
      <c r="AF56" s="24"/>
      <c r="AG56" s="24"/>
      <c r="AH56" s="61"/>
    </row>
    <row r="57" spans="1:34" ht="11.65" customHeight="1" x14ac:dyDescent="0.25">
      <c r="A57" s="9"/>
      <c r="B57" s="9"/>
      <c r="D57" s="9"/>
      <c r="K57" s="9"/>
      <c r="L57" s="9"/>
      <c r="R57" s="24"/>
      <c r="S57" s="24"/>
      <c r="T57" s="49" t="s">
        <v>49</v>
      </c>
      <c r="U57" s="21"/>
      <c r="V57" s="24"/>
      <c r="W57" s="48" t="s">
        <v>134</v>
      </c>
      <c r="X57" s="21"/>
      <c r="Y57" s="43"/>
      <c r="Z57" s="49" t="s">
        <v>50</v>
      </c>
      <c r="AA57" s="22"/>
      <c r="AB57" s="24"/>
      <c r="AC57" s="45" t="s">
        <v>51</v>
      </c>
      <c r="AD57" s="24"/>
      <c r="AE57" s="23">
        <f>SUM(AA55:AA61)</f>
        <v>110</v>
      </c>
      <c r="AF57" s="24"/>
      <c r="AG57" s="24"/>
      <c r="AH57" s="61"/>
    </row>
    <row r="58" spans="1:34" ht="11.65" customHeight="1" x14ac:dyDescent="0.25">
      <c r="A58" s="9"/>
      <c r="B58" s="9"/>
      <c r="D58" s="9"/>
      <c r="F58" s="9"/>
      <c r="G58" s="9"/>
      <c r="H58" s="9"/>
      <c r="I58" s="9"/>
      <c r="K58" s="9"/>
      <c r="L58" s="9"/>
      <c r="N58" s="20"/>
      <c r="O58" s="9"/>
      <c r="R58" s="24"/>
      <c r="S58" s="24"/>
      <c r="T58" s="49" t="s">
        <v>52</v>
      </c>
      <c r="U58" s="55">
        <f>T18*1.47*1.1</f>
        <v>97.02000000000001</v>
      </c>
      <c r="V58" s="24"/>
      <c r="W58" s="48" t="s">
        <v>53</v>
      </c>
      <c r="X58" s="21">
        <f>Z18*5</f>
        <v>378</v>
      </c>
      <c r="Y58" s="43"/>
      <c r="Z58" s="49" t="s">
        <v>54</v>
      </c>
      <c r="AA58" s="22">
        <f>(1.5*16)*(T18/16)</f>
        <v>90</v>
      </c>
      <c r="AB58" s="24"/>
      <c r="AC58" s="50" t="s">
        <v>55</v>
      </c>
      <c r="AD58" s="51"/>
      <c r="AE58" s="22">
        <f>SUM(AE55:AE57)</f>
        <v>682.04</v>
      </c>
      <c r="AF58" s="24"/>
      <c r="AG58" s="24"/>
      <c r="AH58" s="26"/>
    </row>
    <row r="59" spans="1:34" ht="11.65" customHeight="1" x14ac:dyDescent="0.25">
      <c r="A59" s="9"/>
      <c r="B59" s="9"/>
      <c r="D59" s="9"/>
      <c r="F59" s="9"/>
      <c r="G59" s="9"/>
      <c r="H59" s="9"/>
      <c r="I59" s="9"/>
      <c r="K59" s="9"/>
      <c r="L59" s="9"/>
      <c r="R59" s="24"/>
      <c r="S59" s="24"/>
      <c r="T59" s="54" t="s">
        <v>56</v>
      </c>
      <c r="U59" s="22"/>
      <c r="V59" s="24"/>
      <c r="W59" s="49" t="s">
        <v>57</v>
      </c>
      <c r="X59" s="22"/>
      <c r="Y59" s="52"/>
      <c r="Z59" s="138" t="s">
        <v>58</v>
      </c>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c r="V60" s="24"/>
      <c r="W60" s="49" t="s">
        <v>60</v>
      </c>
      <c r="X60" s="22"/>
      <c r="Y60" s="52"/>
      <c r="Z60" s="49" t="s">
        <v>61</v>
      </c>
      <c r="AA60" s="22"/>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c r="V61" s="24"/>
      <c r="W61" s="49" t="s">
        <v>63</v>
      </c>
      <c r="X61" s="22">
        <v>0</v>
      </c>
      <c r="Y61" s="52"/>
      <c r="Z61" s="49" t="s">
        <v>64</v>
      </c>
      <c r="AA61" s="22">
        <v>0</v>
      </c>
      <c r="AB61" s="24"/>
      <c r="AC61" s="53" t="s">
        <v>65</v>
      </c>
      <c r="AD61" s="38"/>
      <c r="AE61" s="21">
        <f>AE31-AE58</f>
        <v>3740.5599999999995</v>
      </c>
      <c r="AF61" s="24"/>
      <c r="AG61" s="24"/>
      <c r="AH61" s="61"/>
    </row>
    <row r="62" spans="1:34" ht="13.5" x14ac:dyDescent="0.25">
      <c r="A62" s="9"/>
      <c r="B62" s="9"/>
      <c r="C62" s="9"/>
      <c r="D62" s="9"/>
      <c r="G62" s="9"/>
      <c r="H62" s="9"/>
      <c r="I62" s="9"/>
      <c r="J62" s="9"/>
      <c r="K62" s="9"/>
      <c r="L62" s="9"/>
      <c r="M62" s="9"/>
      <c r="N62" s="9"/>
      <c r="O62" s="9"/>
      <c r="P62" s="9"/>
      <c r="Q62" s="9"/>
    </row>
  </sheetData>
  <mergeCells count="20">
    <mergeCell ref="AA44:AE44"/>
    <mergeCell ref="AA48:AE48"/>
    <mergeCell ref="F23:G23"/>
    <mergeCell ref="W23:X23"/>
    <mergeCell ref="E35:N35"/>
    <mergeCell ref="V35:AE35"/>
    <mergeCell ref="T39:AE39"/>
    <mergeCell ref="T40:AE40"/>
    <mergeCell ref="C22:E22"/>
    <mergeCell ref="AC7:AE7"/>
    <mergeCell ref="AD9:AE9"/>
    <mergeCell ref="C17:G17"/>
    <mergeCell ref="K17:L17"/>
    <mergeCell ref="T17:X17"/>
    <mergeCell ref="AB17:AC17"/>
    <mergeCell ref="D18:H18"/>
    <mergeCell ref="AC18:AE18"/>
    <mergeCell ref="C19:F19"/>
    <mergeCell ref="K19:L19"/>
    <mergeCell ref="AB19:AC19"/>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B7F7AF66-6194-4C82-9FE8-52F3DC6AF5AA}">
          <x14:formula1>
            <xm:f>'Drop down list '!$D$2:$D$3</xm:f>
          </x14:formula1>
          <xm:sqref>D18:H18</xm:sqref>
        </x14:dataValidation>
        <x14:dataValidation type="list" allowBlank="1" showInputMessage="1" showErrorMessage="1" xr:uid="{B8FE97DC-EAF6-4769-88B8-72CB0FB0E7ED}">
          <x14:formula1>
            <xm:f>'Drop down list '!$E$2:$E$4</xm:f>
          </x14:formula1>
          <xm:sqref>L18</xm:sqref>
        </x14:dataValidation>
        <x14:dataValidation type="list" allowBlank="1" showInputMessage="1" showErrorMessage="1" xr:uid="{26794155-C2BF-4AA1-B693-C035F7909B0D}">
          <x14:formula1>
            <xm:f>'Drop down list '!$F$2:$F$4</xm:f>
          </x14:formula1>
          <xm:sqref>J20</xm:sqref>
        </x14:dataValidation>
        <x14:dataValidation type="list" allowBlank="1" showInputMessage="1" showErrorMessage="1" xr:uid="{ED1DDF93-CD8B-4EBE-927A-5F4338933116}">
          <x14:formula1>
            <xm:f>'Drop down list '!$H$2:$H$32</xm:f>
          </x14:formula1>
          <xm:sqref>M12 J19 E23</xm:sqref>
        </x14:dataValidation>
        <x14:dataValidation type="list" allowBlank="1" showInputMessage="1" showErrorMessage="1" xr:uid="{F8B5767E-63F3-43FF-9178-8314F19E1EF6}">
          <x14:formula1>
            <xm:f>'Drop down list '!$A$2:$A$8</xm:f>
          </x14:formula1>
          <xm:sqref>C17:G17</xm:sqref>
        </x14:dataValidation>
        <x14:dataValidation type="list" allowBlank="1" showInputMessage="1" showErrorMessage="1" xr:uid="{14E37D08-18F1-405D-954F-D645C5BB6607}">
          <x14:formula1>
            <xm:f>'Drop down list '!$B$2:$B$6</xm:f>
          </x14:formula1>
          <xm:sqref>C19:F19</xm:sqref>
        </x14:dataValidation>
        <x14:dataValidation type="list" allowBlank="1" showInputMessage="1" showErrorMessage="1" xr:uid="{76E8894B-33AA-4CAC-98C1-2138A793852F}">
          <x14:formula1>
            <xm:f>'Drop down list '!$G$2:$G$36</xm:f>
          </x14:formula1>
          <xm:sqref>C22:E22</xm:sqref>
        </x14:dataValidation>
        <x14:dataValidation type="list" allowBlank="1" showInputMessage="1" showErrorMessage="1" xr:uid="{2A4A3289-AD63-48D9-9ED2-F515C7AC14DC}">
          <x14:formula1>
            <xm:f>'Drop down list '!$C$2:$C$16</xm:f>
          </x14:formula1>
          <xm:sqref>C18</xm:sqref>
        </x14:dataValidation>
        <x14:dataValidation type="list" allowBlank="1" showInputMessage="1" showErrorMessage="1" xr:uid="{299137C8-3510-4FF8-A03B-8DC62CAC870D}">
          <x14:formula1>
            <xm:f>'Drop down list '!$I$2:$I$4</xm:f>
          </x14:formula1>
          <xm:sqref>F23:G23 K19:L19 N12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1A051-3069-4B14-AB25-D73823B3D7E6}">
  <sheetPr codeName="Sheet1463">
    <tabColor rgb="FFFFFF00"/>
    <pageSetUpPr fitToPage="1"/>
  </sheetPr>
  <dimension ref="A1:AH62"/>
  <sheetViews>
    <sheetView zoomScaleNormal="100" workbookViewId="0">
      <selection activeCell="J26" sqref="J26"/>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271</v>
      </c>
      <c r="R9" s="24"/>
      <c r="S9" s="24"/>
      <c r="T9" s="29" t="str">
        <f t="shared" si="0"/>
        <v>Jalan Tasik</v>
      </c>
      <c r="U9" s="24"/>
      <c r="V9" s="24"/>
      <c r="W9" s="24"/>
      <c r="X9" s="24"/>
      <c r="Y9" s="24"/>
      <c r="Z9" s="24"/>
      <c r="AA9" s="24"/>
      <c r="AB9" s="24"/>
      <c r="AC9" s="29" t="s">
        <v>18</v>
      </c>
      <c r="AD9" s="214" t="str">
        <f>M9</f>
        <v>DN202608-26</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17</v>
      </c>
      <c r="N12" s="145">
        <v>46259</v>
      </c>
      <c r="R12" s="24"/>
      <c r="S12" s="24"/>
      <c r="T12" s="29" t="str">
        <f t="shared" si="0"/>
        <v>East Malaysia</v>
      </c>
      <c r="U12" s="24"/>
      <c r="V12" s="24"/>
      <c r="W12" s="24"/>
      <c r="X12" s="24"/>
      <c r="Y12" s="24"/>
      <c r="Z12" s="24"/>
      <c r="AA12" s="24"/>
      <c r="AB12" s="24"/>
      <c r="AC12" s="147" t="s">
        <v>19</v>
      </c>
      <c r="AD12" s="30">
        <f>M12</f>
        <v>17</v>
      </c>
      <c r="AE12" s="146">
        <f>N12</f>
        <v>46259</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272</v>
      </c>
      <c r="D16" s="12"/>
      <c r="E16" s="12"/>
      <c r="F16" s="12"/>
      <c r="G16" s="12"/>
      <c r="H16" s="12"/>
      <c r="I16" s="12"/>
      <c r="J16" s="12"/>
      <c r="K16" s="12"/>
      <c r="L16" s="12"/>
      <c r="M16" s="12"/>
      <c r="N16" s="12"/>
      <c r="O16" s="12"/>
      <c r="P16" s="128"/>
      <c r="R16" s="35"/>
      <c r="S16" s="24"/>
      <c r="T16" s="29" t="str">
        <f t="shared" ref="T16:T23" si="1">C16</f>
        <v>Your Invoice No. 13269</v>
      </c>
      <c r="U16" s="29"/>
      <c r="V16" s="29"/>
      <c r="W16" s="29"/>
      <c r="X16" s="29"/>
      <c r="Y16" s="29"/>
      <c r="Z16" s="29"/>
      <c r="AA16" s="29"/>
      <c r="AB16" s="29"/>
      <c r="AC16" s="29"/>
      <c r="AD16" s="29"/>
      <c r="AE16" s="29"/>
      <c r="AF16" s="29"/>
      <c r="AG16" s="36"/>
      <c r="AH16" s="26"/>
    </row>
    <row r="17" spans="1:34" ht="12.75" customHeight="1" x14ac:dyDescent="0.2">
      <c r="A17" s="10"/>
      <c r="C17" s="213" t="s">
        <v>12</v>
      </c>
      <c r="D17" s="216"/>
      <c r="E17" s="216"/>
      <c r="F17" s="216"/>
      <c r="G17" s="216"/>
      <c r="I17" s="136" t="s">
        <v>238</v>
      </c>
      <c r="J17" s="12" t="s">
        <v>273</v>
      </c>
      <c r="K17" s="12"/>
      <c r="L17" s="12"/>
      <c r="M17" s="12"/>
      <c r="N17" s="12"/>
      <c r="O17" s="12"/>
      <c r="P17" s="128"/>
      <c r="R17" s="35"/>
      <c r="S17" s="24"/>
      <c r="T17" s="214" t="str">
        <f t="shared" si="1"/>
        <v>Singapore Tong Teik (Pte) Ltd</v>
      </c>
      <c r="U17" s="214"/>
      <c r="V17" s="214"/>
      <c r="W17" s="214"/>
      <c r="X17" s="214"/>
      <c r="Z17" s="12" t="str">
        <f>I17</f>
        <v>S/I No.</v>
      </c>
      <c r="AA17" t="str">
        <f>J17</f>
        <v>S26-8017(A)</v>
      </c>
      <c r="AB17" s="24"/>
      <c r="AC17" s="29"/>
      <c r="AD17" s="29"/>
      <c r="AE17" s="29"/>
      <c r="AF17" s="29"/>
      <c r="AG17" s="36"/>
      <c r="AH17" s="26"/>
    </row>
    <row r="18" spans="1:34" ht="12.75" customHeight="1" x14ac:dyDescent="0.2">
      <c r="A18" s="10"/>
      <c r="C18" s="12">
        <v>96</v>
      </c>
      <c r="D18" s="216" t="s">
        <v>1</v>
      </c>
      <c r="E18" s="216"/>
      <c r="F18" s="216"/>
      <c r="G18" s="216"/>
      <c r="H18" s="216"/>
      <c r="I18" s="125">
        <f>C18/16*20.16</f>
        <v>120.96000000000001</v>
      </c>
      <c r="J18" s="12" t="s">
        <v>36</v>
      </c>
      <c r="K18" s="144"/>
      <c r="L18" s="144" t="s">
        <v>6</v>
      </c>
      <c r="M18" s="56"/>
      <c r="N18" s="12"/>
      <c r="O18" s="12"/>
      <c r="P18" s="128"/>
      <c r="R18" s="35"/>
      <c r="S18" s="24"/>
      <c r="T18" s="29">
        <f>C18</f>
        <v>96</v>
      </c>
      <c r="U18" s="29" t="str">
        <f>D18</f>
        <v>Metal  Boxes (MB5)</v>
      </c>
      <c r="V18" s="29"/>
      <c r="W18" s="29"/>
      <c r="Z18" s="126">
        <f>I18</f>
        <v>120.96000000000001</v>
      </c>
      <c r="AA18" s="12" t="s">
        <v>37</v>
      </c>
      <c r="AB18" s="12"/>
      <c r="AC18" s="216" t="str">
        <f>L18</f>
        <v>SMR 20 Rubber</v>
      </c>
      <c r="AD18" s="216"/>
      <c r="AE18" s="216"/>
      <c r="AF18" s="29"/>
      <c r="AG18" s="36"/>
      <c r="AH18" s="26"/>
    </row>
    <row r="19" spans="1:34" ht="12.75" customHeight="1" x14ac:dyDescent="0.2">
      <c r="A19" s="10"/>
      <c r="C19" s="213" t="s">
        <v>136</v>
      </c>
      <c r="D19" s="216"/>
      <c r="E19" s="216"/>
      <c r="F19" s="216"/>
      <c r="G19" s="136" t="s">
        <v>249</v>
      </c>
      <c r="H19" s="12"/>
      <c r="I19" s="12"/>
      <c r="J19" s="12">
        <v>16</v>
      </c>
      <c r="K19" s="211">
        <v>46259</v>
      </c>
      <c r="L19" s="211"/>
      <c r="M19" s="12"/>
      <c r="N19" s="12"/>
      <c r="O19" s="12"/>
      <c r="P19" s="128"/>
      <c r="R19" s="35"/>
      <c r="S19" s="24"/>
      <c r="T19" s="147" t="str">
        <f>C19</f>
        <v>Ex Pacific Star</v>
      </c>
      <c r="U19" s="147"/>
      <c r="V19" s="134"/>
      <c r="W19" s="134"/>
      <c r="X19" s="29" t="str">
        <f>G19</f>
        <v>Voy 2608W    Arrd</v>
      </c>
      <c r="Y19" s="29"/>
      <c r="Z19" s="29"/>
      <c r="AA19" s="29">
        <f>J19</f>
        <v>16</v>
      </c>
      <c r="AB19" s="212">
        <f>K19</f>
        <v>46259</v>
      </c>
      <c r="AC19" s="212"/>
      <c r="AD19" s="29"/>
      <c r="AE19" s="29"/>
      <c r="AF19" s="29"/>
      <c r="AG19" s="36"/>
      <c r="AH19" s="26"/>
    </row>
    <row r="20" spans="1:34" ht="12.75" customHeight="1" x14ac:dyDescent="0.2">
      <c r="A20" s="10"/>
      <c r="C20" s="136" t="s">
        <v>274</v>
      </c>
      <c r="D20" s="12"/>
      <c r="E20" s="12"/>
      <c r="F20" s="12"/>
      <c r="G20" s="12"/>
      <c r="H20" s="144"/>
      <c r="I20" s="153" t="s">
        <v>275</v>
      </c>
      <c r="J20" s="12" t="s">
        <v>3</v>
      </c>
      <c r="M20" s="12"/>
      <c r="N20" s="12"/>
      <c r="O20" s="12"/>
      <c r="P20" s="128"/>
      <c r="R20" s="35"/>
      <c r="S20" s="24"/>
      <c r="T20" s="29" t="str">
        <f>C20</f>
        <v>B/L No. JPST2608W-BKI07</v>
      </c>
      <c r="U20" s="29"/>
      <c r="V20" s="29"/>
      <c r="W20" s="29"/>
      <c r="X20" s="29"/>
      <c r="Z20" s="124" t="str">
        <f>I20</f>
        <v>(161/26</v>
      </c>
      <c r="AA20" s="29" t="str">
        <f>J20</f>
        <v>Tuaran)</v>
      </c>
      <c r="AB20" s="24"/>
      <c r="AC20" s="29"/>
      <c r="AD20" s="29"/>
      <c r="AE20" s="29"/>
      <c r="AF20" s="29"/>
      <c r="AG20" s="36"/>
      <c r="AH20" s="26"/>
    </row>
    <row r="21" spans="1:34" ht="12.75" customHeight="1" x14ac:dyDescent="0.2">
      <c r="A21" s="10"/>
      <c r="C21" s="136" t="s">
        <v>276</v>
      </c>
      <c r="D21" s="12"/>
      <c r="E21" s="12"/>
      <c r="F21" s="12"/>
      <c r="G21" s="12"/>
      <c r="H21" s="12"/>
      <c r="I21" s="12"/>
      <c r="J21" s="12"/>
      <c r="K21" s="12"/>
      <c r="L21" s="12"/>
      <c r="M21" s="12"/>
      <c r="N21" s="12"/>
      <c r="O21" s="12"/>
      <c r="P21" s="128"/>
      <c r="R21" s="35"/>
      <c r="S21" s="24"/>
      <c r="T21" s="29" t="str">
        <f t="shared" si="1"/>
        <v>Shipped per Maersk Biscayne Voy 635S</v>
      </c>
      <c r="U21" s="29"/>
      <c r="V21" s="29"/>
      <c r="W21" s="29"/>
      <c r="X21" s="29"/>
      <c r="Y21" s="29"/>
      <c r="Z21" s="29"/>
      <c r="AA21" s="29"/>
      <c r="AB21" s="29"/>
      <c r="AC21" s="29"/>
      <c r="AD21" s="29"/>
      <c r="AE21" s="29"/>
      <c r="AF21" s="29"/>
      <c r="AG21" s="36"/>
      <c r="AH21" s="26"/>
    </row>
    <row r="22" spans="1:34" ht="12.75" customHeight="1" x14ac:dyDescent="0.2">
      <c r="A22" s="10"/>
      <c r="C22" s="213" t="s">
        <v>277</v>
      </c>
      <c r="D22" s="213"/>
      <c r="E22" s="213"/>
      <c r="F22" s="213"/>
      <c r="G22" s="12"/>
      <c r="H22" s="12"/>
      <c r="I22" s="12"/>
      <c r="J22" s="12"/>
      <c r="K22" s="12"/>
      <c r="L22" s="12"/>
      <c r="M22" s="12"/>
      <c r="N22" s="12"/>
      <c r="O22" s="12"/>
      <c r="P22" s="128"/>
      <c r="R22" s="35"/>
      <c r="S22" s="24"/>
      <c r="T22" s="29" t="str">
        <f t="shared" si="1"/>
        <v>To Fremantle, Australia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27</v>
      </c>
      <c r="F23" s="211">
        <v>46259</v>
      </c>
      <c r="G23" s="211"/>
      <c r="H23" s="12"/>
      <c r="I23" s="12"/>
      <c r="J23" s="12"/>
      <c r="K23" s="12"/>
      <c r="L23" s="12"/>
      <c r="M23" s="12"/>
      <c r="N23" s="12"/>
      <c r="O23" s="12"/>
      <c r="P23" s="128"/>
      <c r="R23" s="35"/>
      <c r="S23" s="24"/>
      <c r="T23" s="29" t="str">
        <f t="shared" si="1"/>
        <v>B/L dated</v>
      </c>
      <c r="U23" s="29"/>
      <c r="V23" s="29">
        <f>E23</f>
        <v>27</v>
      </c>
      <c r="W23" s="212">
        <f>F23</f>
        <v>46259</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2">
        <v>58.5</v>
      </c>
      <c r="K26" s="2" t="s">
        <v>41</v>
      </c>
      <c r="L26" s="12"/>
      <c r="M26" s="12" t="s">
        <v>20</v>
      </c>
      <c r="N26" s="14">
        <f>I18*J26</f>
        <v>7076.1600000000008</v>
      </c>
      <c r="O26" s="14"/>
      <c r="P26" s="128"/>
      <c r="R26" s="35"/>
      <c r="S26" s="24"/>
      <c r="T26" s="29" t="str">
        <f>C26</f>
        <v>Transhipment Charge</v>
      </c>
      <c r="U26" s="24"/>
      <c r="V26" s="29"/>
      <c r="W26" s="29"/>
      <c r="X26" s="29"/>
      <c r="Y26" s="29"/>
      <c r="Z26" s="58" t="s">
        <v>40</v>
      </c>
      <c r="AA26" s="59">
        <f>J26</f>
        <v>58.5</v>
      </c>
      <c r="AB26" s="2" t="s">
        <v>41</v>
      </c>
      <c r="AC26" s="29"/>
      <c r="AD26" s="29" t="s">
        <v>20</v>
      </c>
      <c r="AE26" s="39">
        <f>N26</f>
        <v>7076.1600000000008</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7076.1600000000008</v>
      </c>
      <c r="O31" s="14"/>
      <c r="P31" s="128"/>
      <c r="R31" s="35"/>
      <c r="S31" s="24"/>
      <c r="T31" s="24"/>
      <c r="U31" s="29"/>
      <c r="V31" s="29"/>
      <c r="W31" s="29"/>
      <c r="X31" s="29"/>
      <c r="Y31" s="29"/>
      <c r="Z31" s="29"/>
      <c r="AA31" s="29"/>
      <c r="AB31" s="29"/>
      <c r="AC31" s="29"/>
      <c r="AD31" s="29" t="s">
        <v>20</v>
      </c>
      <c r="AE31" s="39">
        <f>SUM(AE26:AE28)</f>
        <v>7076.1600000000008</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278</v>
      </c>
      <c r="F35" s="213"/>
      <c r="G35" s="213"/>
      <c r="H35" s="213"/>
      <c r="I35" s="213"/>
      <c r="J35" s="213"/>
      <c r="K35" s="213"/>
      <c r="L35" s="213"/>
      <c r="M35" s="213"/>
      <c r="N35" s="213"/>
      <c r="O35" s="213"/>
      <c r="P35" s="128"/>
      <c r="R35" s="35"/>
      <c r="S35" s="24"/>
      <c r="T35" s="29" t="str">
        <f>C35</f>
        <v>Singapore Dollars</v>
      </c>
      <c r="U35" s="24"/>
      <c r="V35" s="214" t="str">
        <f>E35</f>
        <v>Six Thousand Five Hundred Thirty One And Cents Eighty Four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43"/>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v>200</v>
      </c>
      <c r="AB55" s="24"/>
      <c r="AC55" s="45" t="s">
        <v>45</v>
      </c>
      <c r="AD55" s="24"/>
      <c r="AE55" s="23">
        <f>SUM(U56:U61)</f>
        <v>2046.9</v>
      </c>
      <c r="AF55" s="24"/>
      <c r="AG55" s="24"/>
      <c r="AH55" s="61"/>
    </row>
    <row r="56" spans="1:34" ht="11.65" customHeight="1" x14ac:dyDescent="0.25">
      <c r="A56" s="9"/>
      <c r="B56" s="9"/>
      <c r="D56" s="9"/>
      <c r="K56" s="9"/>
      <c r="L56" s="9"/>
      <c r="R56" s="24"/>
      <c r="S56" s="24"/>
      <c r="T56" s="48" t="s">
        <v>46</v>
      </c>
      <c r="U56" s="55">
        <f>T18/16*25.9</f>
        <v>155.39999999999998</v>
      </c>
      <c r="V56" s="43"/>
      <c r="W56" s="46"/>
      <c r="X56" s="43"/>
      <c r="Y56" s="43"/>
      <c r="Z56" s="49" t="s">
        <v>47</v>
      </c>
      <c r="AA56" s="22">
        <v>20</v>
      </c>
      <c r="AB56" s="24"/>
      <c r="AC56" s="45" t="s">
        <v>48</v>
      </c>
      <c r="AD56" s="24"/>
      <c r="AE56" s="23">
        <f>SUM(X57:X61)</f>
        <v>1782</v>
      </c>
      <c r="AF56" s="24"/>
      <c r="AG56" s="24"/>
      <c r="AH56" s="61"/>
    </row>
    <row r="57" spans="1:34" ht="11.65" customHeight="1" x14ac:dyDescent="0.25">
      <c r="A57" s="9"/>
      <c r="B57" s="9"/>
      <c r="D57" s="9"/>
      <c r="K57" s="9"/>
      <c r="L57" s="9"/>
      <c r="R57" s="24"/>
      <c r="S57" s="24"/>
      <c r="T57" s="49" t="s">
        <v>49</v>
      </c>
      <c r="U57" s="21">
        <f>T18/16*82</f>
        <v>492</v>
      </c>
      <c r="V57" s="24"/>
      <c r="W57" s="48" t="s">
        <v>134</v>
      </c>
      <c r="X57" s="21">
        <f>T18/16*5</f>
        <v>30</v>
      </c>
      <c r="Y57" s="43"/>
      <c r="Z57" s="49" t="s">
        <v>50</v>
      </c>
      <c r="AA57" s="22">
        <f>T18/16*25</f>
        <v>150</v>
      </c>
      <c r="AB57" s="24"/>
      <c r="AC57" s="45" t="s">
        <v>51</v>
      </c>
      <c r="AD57" s="24"/>
      <c r="AE57" s="23">
        <f>SUM(AA55:AA61)</f>
        <v>562</v>
      </c>
      <c r="AF57" s="24"/>
      <c r="AG57" s="24"/>
      <c r="AH57" s="61"/>
    </row>
    <row r="58" spans="1:34" ht="11.65" customHeight="1" x14ac:dyDescent="0.25">
      <c r="A58" s="9"/>
      <c r="B58" s="9"/>
      <c r="D58" s="9"/>
      <c r="F58" s="9"/>
      <c r="G58" s="9"/>
      <c r="H58" s="9"/>
      <c r="I58" s="9"/>
      <c r="K58" s="9"/>
      <c r="L58" s="9"/>
      <c r="N58" s="20"/>
      <c r="O58" s="9"/>
      <c r="R58" s="24"/>
      <c r="S58" s="24"/>
      <c r="T58" s="49" t="s">
        <v>52</v>
      </c>
      <c r="U58" s="22">
        <f>T18/16*63.25</f>
        <v>379.5</v>
      </c>
      <c r="V58" s="24"/>
      <c r="W58" s="48" t="s">
        <v>53</v>
      </c>
      <c r="X58" s="173">
        <f>T18/16*100</f>
        <v>600</v>
      </c>
      <c r="Y58" s="43"/>
      <c r="Z58" s="49" t="s">
        <v>54</v>
      </c>
      <c r="AA58" s="22">
        <f>(1.5*16)*(T18/16)</f>
        <v>144</v>
      </c>
      <c r="AB58" s="24"/>
      <c r="AC58" s="50" t="s">
        <v>55</v>
      </c>
      <c r="AD58" s="51"/>
      <c r="AE58" s="22">
        <f>SUM(AE55:AE57)</f>
        <v>4390.8999999999996</v>
      </c>
      <c r="AF58" s="24"/>
      <c r="AG58" s="24"/>
      <c r="AH58" s="26"/>
    </row>
    <row r="59" spans="1:34" ht="11.65" customHeight="1" x14ac:dyDescent="0.25">
      <c r="A59" s="9"/>
      <c r="B59" s="9"/>
      <c r="D59" s="9"/>
      <c r="F59" s="9"/>
      <c r="G59" s="9"/>
      <c r="H59" s="9"/>
      <c r="I59" s="9"/>
      <c r="K59" s="9"/>
      <c r="L59" s="9"/>
      <c r="R59" s="24"/>
      <c r="S59" s="24"/>
      <c r="T59" s="54" t="s">
        <v>56</v>
      </c>
      <c r="U59" s="22">
        <f>T18/16*80</f>
        <v>480</v>
      </c>
      <c r="V59" s="24"/>
      <c r="W59" s="49" t="s">
        <v>57</v>
      </c>
      <c r="X59" s="172">
        <f>T18/16*180</f>
        <v>1080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T18/16*50</f>
        <v>300</v>
      </c>
      <c r="V60" s="24"/>
      <c r="W60" s="49" t="s">
        <v>60</v>
      </c>
      <c r="X60" s="22">
        <f>T18/16*12</f>
        <v>72</v>
      </c>
      <c r="Y60" s="52"/>
      <c r="Z60" s="49" t="s">
        <v>61</v>
      </c>
      <c r="AA60" s="22">
        <f>8*(T18/16)</f>
        <v>48</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T18/16*40</f>
        <v>240</v>
      </c>
      <c r="V61" s="24"/>
      <c r="W61" s="49" t="s">
        <v>63</v>
      </c>
      <c r="X61" s="22">
        <v>0</v>
      </c>
      <c r="Y61" s="52"/>
      <c r="Z61" s="49" t="s">
        <v>64</v>
      </c>
      <c r="AA61" s="22">
        <v>0</v>
      </c>
      <c r="AB61" s="24"/>
      <c r="AC61" s="53" t="s">
        <v>65</v>
      </c>
      <c r="AD61" s="38"/>
      <c r="AE61" s="21">
        <f>AE31-AE58</f>
        <v>2685.2600000000011</v>
      </c>
      <c r="AF61" s="24"/>
      <c r="AG61" s="24"/>
      <c r="AH61" s="61"/>
    </row>
    <row r="62" spans="1:34" ht="13.5" x14ac:dyDescent="0.25">
      <c r="A62" s="9"/>
      <c r="B62" s="9"/>
      <c r="C62" s="9"/>
      <c r="D62" s="9"/>
      <c r="G62" s="9"/>
      <c r="H62" s="9"/>
      <c r="I62" s="9"/>
      <c r="J62" s="9"/>
      <c r="K62" s="9"/>
      <c r="L62" s="9"/>
      <c r="M62" s="9"/>
      <c r="N62" s="9"/>
      <c r="O62" s="9"/>
      <c r="P62" s="9"/>
      <c r="Q62" s="9"/>
    </row>
  </sheetData>
  <mergeCells count="18">
    <mergeCell ref="AC7:AE7"/>
    <mergeCell ref="AD9:AE9"/>
    <mergeCell ref="C17:G17"/>
    <mergeCell ref="T17:X17"/>
    <mergeCell ref="D18:H18"/>
    <mergeCell ref="AC18:AE18"/>
    <mergeCell ref="AA48:AE48"/>
    <mergeCell ref="C19:F19"/>
    <mergeCell ref="K19:L19"/>
    <mergeCell ref="AB19:AC19"/>
    <mergeCell ref="C22:F22"/>
    <mergeCell ref="F23:G23"/>
    <mergeCell ref="W23:X23"/>
    <mergeCell ref="E35:O35"/>
    <mergeCell ref="V35:AE35"/>
    <mergeCell ref="T39:AE39"/>
    <mergeCell ref="T40:AE40"/>
    <mergeCell ref="AA44:AE44"/>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C57237CC-7233-4FED-B360-17BAFB8908D3}">
          <x14:formula1>
            <xm:f>'Drop down list '!$D:$D</xm:f>
          </x14:formula1>
          <xm:sqref>D18:H18</xm:sqref>
        </x14:dataValidation>
        <x14:dataValidation type="list" allowBlank="1" showInputMessage="1" showErrorMessage="1" xr:uid="{F4AADE0E-6F38-4E1C-A009-20E0C343426A}">
          <x14:formula1>
            <xm:f>'Drop down list '!$G:$G</xm:f>
          </x14:formula1>
          <xm:sqref>C22:F22</xm:sqref>
        </x14:dataValidation>
        <x14:dataValidation type="list" allowBlank="1" showInputMessage="1" showErrorMessage="1" xr:uid="{A7CB3D4A-632F-41B3-8733-F5978B971612}">
          <x14:formula1>
            <xm:f>'Drop down list '!$F:$F</xm:f>
          </x14:formula1>
          <xm:sqref>J20</xm:sqref>
        </x14:dataValidation>
        <x14:dataValidation type="list" allowBlank="1" showInputMessage="1" showErrorMessage="1" xr:uid="{EBE004AA-D236-45AD-AA59-F286A6603CB1}">
          <x14:formula1>
            <xm:f>'Drop down list '!$B:$B</xm:f>
          </x14:formula1>
          <xm:sqref>C19:F19</xm:sqref>
        </x14:dataValidation>
        <x14:dataValidation type="list" allowBlank="1" showInputMessage="1" showErrorMessage="1" xr:uid="{1DED2372-8210-4F69-BDA9-CF40646FAF84}">
          <x14:formula1>
            <xm:f>'Drop down list '!$E:$E</xm:f>
          </x14:formula1>
          <xm:sqref>L18</xm:sqref>
        </x14:dataValidation>
        <x14:dataValidation type="list" allowBlank="1" showInputMessage="1" showErrorMessage="1" xr:uid="{9294512D-2A0C-4EBF-9A56-3D68AEE2A6E5}">
          <x14:formula1>
            <xm:f>'Drop down list '!$C:$C</xm:f>
          </x14:formula1>
          <xm:sqref>C18</xm:sqref>
        </x14:dataValidation>
        <x14:dataValidation type="list" allowBlank="1" showInputMessage="1" showErrorMessage="1" xr:uid="{483950AA-2B08-48F8-9FFD-7CE94321821C}">
          <x14:formula1>
            <xm:f>'Drop down list '!$A:$A</xm:f>
          </x14:formula1>
          <xm:sqref>C17:G17</xm:sqref>
        </x14:dataValidation>
        <x14:dataValidation type="list" allowBlank="1" showInputMessage="1" showErrorMessage="1" xr:uid="{68A5D0C8-C257-4511-84D8-A7499000CB37}">
          <x14:formula1>
            <xm:f>'Drop down list '!$H:$H</xm:f>
          </x14:formula1>
          <xm:sqref>M12 J19 E23</xm:sqref>
        </x14:dataValidation>
        <x14:dataValidation type="list" allowBlank="1" showInputMessage="1" showErrorMessage="1" xr:uid="{7E8B2D4D-BD8D-4D66-AB4C-9A9FB9AF8609}">
          <x14:formula1>
            <xm:f>'Drop down list '!$I:$I</xm:f>
          </x14:formula1>
          <xm:sqref>N12 K19:L19 F23:G23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873F-A765-47A9-8EDA-242157DA6C5A}">
  <sheetPr codeName="Sheet1314">
    <tabColor rgb="FFFFFF00"/>
    <pageSetUpPr fitToPage="1"/>
  </sheetPr>
  <dimension ref="A1:AH62"/>
  <sheetViews>
    <sheetView zoomScaleNormal="100" workbookViewId="0">
      <selection activeCell="J21" sqref="J21"/>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289</v>
      </c>
      <c r="R9" s="24"/>
      <c r="S9" s="24"/>
      <c r="T9" s="29" t="str">
        <f t="shared" si="0"/>
        <v>Jalan Tasik</v>
      </c>
      <c r="U9" s="24"/>
      <c r="V9" s="24"/>
      <c r="W9" s="24"/>
      <c r="X9" s="24"/>
      <c r="Y9" s="24"/>
      <c r="Z9" s="24"/>
      <c r="AA9" s="24"/>
      <c r="AB9" s="24"/>
      <c r="AC9" s="29" t="s">
        <v>18</v>
      </c>
      <c r="AD9" s="214" t="str">
        <f>M9</f>
        <v>DN202608-33</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31</v>
      </c>
      <c r="N12" s="145">
        <v>46259</v>
      </c>
      <c r="R12" s="24"/>
      <c r="S12" s="24"/>
      <c r="T12" s="29" t="str">
        <f t="shared" si="0"/>
        <v>East Malaysia</v>
      </c>
      <c r="U12" s="24"/>
      <c r="V12" s="24"/>
      <c r="W12" s="24"/>
      <c r="X12" s="24"/>
      <c r="Y12" s="24"/>
      <c r="Z12" s="24"/>
      <c r="AA12" s="24"/>
      <c r="AB12" s="24"/>
      <c r="AC12" s="147" t="s">
        <v>19</v>
      </c>
      <c r="AD12" s="30">
        <f>M12</f>
        <v>31</v>
      </c>
      <c r="AE12" s="146">
        <f>N12</f>
        <v>46259</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248</v>
      </c>
      <c r="D16" s="12"/>
      <c r="E16" s="12"/>
      <c r="F16" s="12"/>
      <c r="G16" s="12"/>
      <c r="H16" s="12"/>
      <c r="I16" s="12"/>
      <c r="J16" s="12"/>
      <c r="K16" s="12"/>
      <c r="L16" s="12"/>
      <c r="M16" s="12"/>
      <c r="N16" s="12"/>
      <c r="O16" s="12"/>
      <c r="P16" s="128"/>
      <c r="R16" s="35"/>
      <c r="S16" s="24"/>
      <c r="T16" s="29" t="str">
        <f t="shared" ref="T16:T23" si="1">C16</f>
        <v>Your Invoice No. 13238</v>
      </c>
      <c r="U16" s="29"/>
      <c r="V16" s="29"/>
      <c r="W16" s="29"/>
      <c r="X16" s="29"/>
      <c r="Y16" s="29"/>
      <c r="Z16" s="29"/>
      <c r="AA16" s="29"/>
      <c r="AB16" s="29"/>
      <c r="AC16" s="29"/>
      <c r="AD16" s="29"/>
      <c r="AE16" s="29"/>
      <c r="AF16" s="29"/>
      <c r="AG16" s="36"/>
      <c r="AH16" s="26"/>
    </row>
    <row r="17" spans="1:34" ht="12.75" customHeight="1" x14ac:dyDescent="0.2">
      <c r="A17" s="10"/>
      <c r="C17" s="213" t="s">
        <v>8</v>
      </c>
      <c r="D17" s="216"/>
      <c r="E17" s="216"/>
      <c r="F17" s="216"/>
      <c r="G17" s="216"/>
      <c r="I17" s="136" t="s">
        <v>239</v>
      </c>
      <c r="J17" s="216">
        <v>84919</v>
      </c>
      <c r="K17" s="216"/>
      <c r="L17" s="12"/>
      <c r="M17" s="12"/>
      <c r="N17" s="12"/>
      <c r="O17" s="12"/>
      <c r="P17" s="128"/>
      <c r="R17" s="35"/>
      <c r="S17" s="24"/>
      <c r="T17" s="214" t="str">
        <f t="shared" si="1"/>
        <v>New Continent Enterprises Pte Ltd</v>
      </c>
      <c r="U17" s="214"/>
      <c r="V17" s="214"/>
      <c r="W17" s="214"/>
      <c r="X17" s="214"/>
      <c r="Z17" s="12" t="str">
        <f>I17</f>
        <v xml:space="preserve">S/I No. </v>
      </c>
      <c r="AA17">
        <f>J17</f>
        <v>84919</v>
      </c>
      <c r="AB17" s="24"/>
      <c r="AC17" s="29"/>
      <c r="AD17" s="29"/>
      <c r="AE17" s="29"/>
      <c r="AF17" s="29"/>
      <c r="AG17" s="36"/>
      <c r="AH17" s="26"/>
    </row>
    <row r="18" spans="1:34" ht="12.75" customHeight="1" x14ac:dyDescent="0.2">
      <c r="A18" s="10"/>
      <c r="C18" s="12">
        <v>160</v>
      </c>
      <c r="D18" s="216" t="s">
        <v>5</v>
      </c>
      <c r="E18" s="216"/>
      <c r="F18" s="216"/>
      <c r="G18" s="216"/>
      <c r="H18" s="216"/>
      <c r="I18" s="125">
        <f>C18/16*20.16</f>
        <v>201.6</v>
      </c>
      <c r="J18" s="12" t="s">
        <v>36</v>
      </c>
      <c r="K18" s="144"/>
      <c r="L18" s="144" t="s">
        <v>6</v>
      </c>
      <c r="M18" s="56"/>
      <c r="N18" s="12"/>
      <c r="O18" s="12"/>
      <c r="P18" s="128"/>
      <c r="R18" s="35"/>
      <c r="S18" s="24"/>
      <c r="T18" s="29">
        <f>C18</f>
        <v>160</v>
      </c>
      <c r="U18" s="29" t="str">
        <f>D18</f>
        <v>Shrinkwrapped Plastic Pallets Base</v>
      </c>
      <c r="V18" s="29"/>
      <c r="W18" s="29"/>
      <c r="Z18" s="126">
        <f>I18</f>
        <v>201.6</v>
      </c>
      <c r="AA18" s="12" t="s">
        <v>37</v>
      </c>
      <c r="AB18" s="12"/>
      <c r="AC18" s="216" t="str">
        <f>L18</f>
        <v>SMR 20 Rubber</v>
      </c>
      <c r="AD18" s="216"/>
      <c r="AE18" s="216"/>
      <c r="AF18" s="29"/>
      <c r="AG18" s="36"/>
      <c r="AH18" s="26"/>
    </row>
    <row r="19" spans="1:34" ht="12.75" customHeight="1" x14ac:dyDescent="0.2">
      <c r="A19" s="10"/>
      <c r="C19" s="213" t="s">
        <v>136</v>
      </c>
      <c r="D19" s="216"/>
      <c r="E19" s="216"/>
      <c r="F19" s="216"/>
      <c r="G19" s="136" t="s">
        <v>244</v>
      </c>
      <c r="H19" s="12"/>
      <c r="I19" s="12"/>
      <c r="J19" s="12">
        <v>18</v>
      </c>
      <c r="K19" s="211">
        <v>46228</v>
      </c>
      <c r="L19" s="211"/>
      <c r="M19" s="12"/>
      <c r="N19" s="12"/>
      <c r="O19" s="12"/>
      <c r="P19" s="128"/>
      <c r="R19" s="35"/>
      <c r="S19" s="24"/>
      <c r="T19" s="147" t="str">
        <f>C19</f>
        <v>Ex Pacific Star</v>
      </c>
      <c r="U19" s="147"/>
      <c r="V19" s="134"/>
      <c r="W19" s="134"/>
      <c r="X19" s="29" t="str">
        <f>G19</f>
        <v>Voy 2607W    Arrd</v>
      </c>
      <c r="Y19" s="29"/>
      <c r="Z19" s="29"/>
      <c r="AA19" s="29">
        <f>J19</f>
        <v>18</v>
      </c>
      <c r="AB19" s="212">
        <f>K19</f>
        <v>46228</v>
      </c>
      <c r="AC19" s="212"/>
      <c r="AD19" s="29"/>
      <c r="AE19" s="29"/>
      <c r="AF19" s="29"/>
      <c r="AG19" s="36"/>
      <c r="AH19" s="26"/>
    </row>
    <row r="20" spans="1:34" ht="12.75" customHeight="1" x14ac:dyDescent="0.2">
      <c r="A20" s="10"/>
      <c r="C20" s="136" t="s">
        <v>246</v>
      </c>
      <c r="D20" s="12"/>
      <c r="E20" s="12"/>
      <c r="F20" s="12"/>
      <c r="G20" s="12"/>
      <c r="H20" s="144"/>
      <c r="I20" s="153" t="s">
        <v>247</v>
      </c>
      <c r="J20" s="12" t="s">
        <v>7</v>
      </c>
      <c r="M20" s="12"/>
      <c r="N20" s="12"/>
      <c r="O20" s="12"/>
      <c r="P20" s="128"/>
      <c r="R20" s="35"/>
      <c r="S20" s="24"/>
      <c r="T20" s="29" t="str">
        <f>C20</f>
        <v>B/L No. JPST2607W-BKI06</v>
      </c>
      <c r="U20" s="29"/>
      <c r="V20" s="29"/>
      <c r="W20" s="29"/>
      <c r="X20" s="29"/>
      <c r="Z20" s="124" t="str">
        <f>I20</f>
        <v>(163/26</v>
      </c>
      <c r="AA20" s="29" t="str">
        <f>J20</f>
        <v>Tenom)</v>
      </c>
      <c r="AB20" s="24"/>
      <c r="AC20" s="29"/>
      <c r="AD20" s="29"/>
      <c r="AE20" s="29"/>
      <c r="AF20" s="29"/>
      <c r="AG20" s="36"/>
      <c r="AH20" s="26"/>
    </row>
    <row r="21" spans="1:34" ht="12.75" customHeight="1" x14ac:dyDescent="0.2">
      <c r="A21" s="10"/>
      <c r="C21" s="136" t="s">
        <v>245</v>
      </c>
      <c r="D21" s="12"/>
      <c r="E21" s="12"/>
      <c r="F21" s="12"/>
      <c r="G21" s="12"/>
      <c r="H21" s="12"/>
      <c r="I21" s="12"/>
      <c r="J21" s="12"/>
      <c r="K21" s="12"/>
      <c r="L21" s="12"/>
      <c r="M21" s="12"/>
      <c r="N21" s="12"/>
      <c r="O21" s="12"/>
      <c r="P21" s="128"/>
      <c r="R21" s="35"/>
      <c r="S21" s="24"/>
      <c r="T21" s="29" t="str">
        <f t="shared" si="1"/>
        <v>Shipped per CMA CGM Perth Voy 0BYPDN1NC</v>
      </c>
      <c r="U21" s="29"/>
      <c r="V21" s="29"/>
      <c r="W21" s="29"/>
      <c r="X21" s="29"/>
      <c r="Y21" s="29"/>
      <c r="Z21" s="29"/>
      <c r="AA21" s="29"/>
      <c r="AB21" s="29"/>
      <c r="AC21" s="29"/>
      <c r="AD21" s="29"/>
      <c r="AE21" s="29"/>
      <c r="AF21" s="29"/>
      <c r="AG21" s="36"/>
      <c r="AH21" s="26"/>
    </row>
    <row r="22" spans="1:34" ht="12.75" customHeight="1" x14ac:dyDescent="0.2">
      <c r="A22" s="10"/>
      <c r="C22" s="213" t="s">
        <v>13</v>
      </c>
      <c r="D22" s="213"/>
      <c r="E22" s="213"/>
      <c r="F22" s="213"/>
      <c r="G22" s="12"/>
      <c r="H22" s="12"/>
      <c r="I22" s="12"/>
      <c r="J22" s="12"/>
      <c r="K22" s="12"/>
      <c r="L22" s="12"/>
      <c r="M22" s="12"/>
      <c r="N22" s="12"/>
      <c r="O22" s="12"/>
      <c r="P22" s="128"/>
      <c r="R22" s="35"/>
      <c r="S22" s="24"/>
      <c r="T22" s="29" t="str">
        <f t="shared" si="1"/>
        <v>To Qingdao, China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12</v>
      </c>
      <c r="F23" s="211">
        <v>46259</v>
      </c>
      <c r="G23" s="211"/>
      <c r="H23" s="12"/>
      <c r="I23" s="12"/>
      <c r="J23" s="12"/>
      <c r="K23" s="12"/>
      <c r="L23" s="12"/>
      <c r="M23" s="12"/>
      <c r="N23" s="12"/>
      <c r="O23" s="12"/>
      <c r="P23" s="128"/>
      <c r="R23" s="35"/>
      <c r="S23" s="24"/>
      <c r="T23" s="29" t="str">
        <f t="shared" si="1"/>
        <v>B/L dated</v>
      </c>
      <c r="U23" s="29"/>
      <c r="V23" s="29">
        <f>E23</f>
        <v>12</v>
      </c>
      <c r="W23" s="212">
        <f>F23</f>
        <v>46259</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219</v>
      </c>
      <c r="E26" s="12"/>
      <c r="F26" s="12"/>
      <c r="G26" s="12"/>
      <c r="H26" s="12"/>
      <c r="I26" s="57"/>
      <c r="J26" s="60"/>
      <c r="L26" s="12"/>
      <c r="M26" s="12"/>
      <c r="N26" s="14"/>
      <c r="O26" s="14"/>
      <c r="P26" s="128"/>
      <c r="R26" s="35"/>
      <c r="S26" s="24"/>
      <c r="T26" s="29" t="str">
        <f>C26</f>
        <v>Additional Freight paid on your behalf for 1 x 20' containers for above</v>
      </c>
      <c r="U26" s="24"/>
      <c r="V26" s="29"/>
      <c r="W26" s="29"/>
      <c r="X26" s="29"/>
      <c r="Y26" s="29"/>
      <c r="Z26" s="58"/>
      <c r="AA26" s="59"/>
      <c r="AB26" s="2"/>
      <c r="AC26" s="29"/>
      <c r="AD26" s="12"/>
      <c r="AE26" s="14"/>
      <c r="AF26" s="39"/>
      <c r="AG26" s="40"/>
      <c r="AH26" s="26"/>
    </row>
    <row r="27" spans="1:34" x14ac:dyDescent="0.2">
      <c r="A27" s="10"/>
      <c r="C27" s="12" t="s">
        <v>290</v>
      </c>
      <c r="E27" s="12"/>
      <c r="F27" s="12"/>
      <c r="G27" s="12"/>
      <c r="H27" s="12"/>
      <c r="I27" s="57"/>
      <c r="J27" s="199"/>
      <c r="K27" s="199"/>
      <c r="L27" s="12"/>
      <c r="M27" s="12"/>
      <c r="N27" s="14"/>
      <c r="O27" s="14"/>
      <c r="P27" s="128"/>
      <c r="R27" s="35"/>
      <c r="S27" s="24"/>
      <c r="T27" s="29" t="str">
        <f>C27</f>
        <v>shipment from Singapore to Qingdao per CMA CGM Perth Voy  0BYPDN1NC</v>
      </c>
      <c r="U27" s="24"/>
      <c r="V27" s="29"/>
      <c r="W27" s="29"/>
      <c r="X27" s="29"/>
      <c r="Y27" s="29"/>
      <c r="Z27" s="29"/>
      <c r="AA27" s="29"/>
      <c r="AB27" s="24"/>
      <c r="AC27" s="29"/>
      <c r="AD27" s="12"/>
      <c r="AE27" s="14"/>
      <c r="AF27" s="39"/>
      <c r="AG27" s="40"/>
      <c r="AH27" s="26"/>
    </row>
    <row r="28" spans="1:34" x14ac:dyDescent="0.2">
      <c r="A28" s="10"/>
      <c r="C28" s="12" t="s">
        <v>291</v>
      </c>
      <c r="E28" s="12"/>
      <c r="F28" s="12"/>
      <c r="G28" s="12"/>
      <c r="H28" s="12"/>
      <c r="I28" s="12"/>
      <c r="L28" s="12"/>
      <c r="M28" s="12" t="s">
        <v>20</v>
      </c>
      <c r="N28" s="14">
        <v>155</v>
      </c>
      <c r="O28" s="14"/>
      <c r="P28" s="128"/>
      <c r="R28" s="35"/>
      <c r="S28" s="24"/>
      <c r="T28" s="29" t="str">
        <f>C28</f>
        <v>at USD120.00 per 20' x 1 = USD120.00 at exchange 1.2917</v>
      </c>
      <c r="U28" s="24"/>
      <c r="V28" s="29"/>
      <c r="W28" s="29"/>
      <c r="X28" s="29"/>
      <c r="Y28" s="29"/>
      <c r="Z28" s="29"/>
      <c r="AA28" s="24"/>
      <c r="AB28" s="24"/>
      <c r="AC28" s="29"/>
      <c r="AD28" s="12" t="str">
        <f>M28</f>
        <v>S$</v>
      </c>
      <c r="AE28" s="14">
        <f>N28</f>
        <v>155</v>
      </c>
      <c r="AF28" s="39"/>
      <c r="AG28" s="40"/>
      <c r="AH28" s="26"/>
    </row>
    <row r="29" spans="1:34" x14ac:dyDescent="0.2">
      <c r="A29" s="10"/>
      <c r="C29" s="2" t="s">
        <v>292</v>
      </c>
      <c r="D29" s="12"/>
      <c r="E29" s="12"/>
      <c r="F29" s="12"/>
      <c r="G29" s="12"/>
      <c r="H29" s="12"/>
      <c r="I29" s="57"/>
      <c r="J29" s="60"/>
      <c r="L29" s="12"/>
      <c r="M29" s="12"/>
      <c r="N29" s="14"/>
      <c r="O29" s="14"/>
      <c r="P29" s="128"/>
      <c r="R29" s="35"/>
      <c r="S29" s="24"/>
      <c r="T29" s="24" t="str">
        <f>C29</f>
        <v>(as per CEG P/L Debit Note No. DN086/2026 attached)</v>
      </c>
      <c r="U29" s="29"/>
      <c r="V29" s="29"/>
      <c r="W29" s="29"/>
      <c r="X29" s="29"/>
      <c r="Y29" s="29"/>
      <c r="Z29" s="29"/>
      <c r="AA29" s="29"/>
      <c r="AB29" s="29"/>
      <c r="AC29" s="29"/>
      <c r="AD29" s="12"/>
      <c r="AE29" s="14"/>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12"/>
      <c r="AE30" s="14"/>
      <c r="AF30" s="39"/>
      <c r="AG30" s="40"/>
      <c r="AH30" s="26"/>
    </row>
    <row r="31" spans="1:34" x14ac:dyDescent="0.2">
      <c r="A31" s="10"/>
      <c r="C31" s="2" t="s">
        <v>293</v>
      </c>
      <c r="D31" s="12"/>
      <c r="E31" s="12"/>
      <c r="F31" s="12"/>
      <c r="G31" s="12"/>
      <c r="H31" s="12"/>
      <c r="I31" s="12"/>
      <c r="J31" s="12"/>
      <c r="K31" s="12"/>
      <c r="L31" s="12"/>
      <c r="M31" s="12" t="s">
        <v>20</v>
      </c>
      <c r="N31" s="14">
        <v>15</v>
      </c>
      <c r="O31" s="14"/>
      <c r="P31" s="128"/>
      <c r="R31" s="35"/>
      <c r="S31" s="24"/>
      <c r="T31" s="24" t="str">
        <f>C31</f>
        <v>1 additional container seal fee paid on your behalf at S$15.00 per seal   x1</v>
      </c>
      <c r="U31" s="29"/>
      <c r="V31" s="29"/>
      <c r="W31" s="29"/>
      <c r="X31" s="29"/>
      <c r="Y31" s="29"/>
      <c r="Z31" s="29"/>
      <c r="AA31" s="29"/>
      <c r="AB31" s="29"/>
      <c r="AC31" s="29"/>
      <c r="AD31" s="12" t="str">
        <f>M31</f>
        <v>S$</v>
      </c>
      <c r="AE31" s="14">
        <f>N31</f>
        <v>15</v>
      </c>
      <c r="AF31" s="39"/>
      <c r="AG31" s="40"/>
      <c r="AH31" s="26"/>
    </row>
    <row r="32" spans="1:34" ht="12.75" customHeight="1" x14ac:dyDescent="0.2">
      <c r="A32" s="10"/>
      <c r="C32" s="2" t="s">
        <v>292</v>
      </c>
      <c r="D32" s="12"/>
      <c r="E32" s="12"/>
      <c r="F32" s="12"/>
      <c r="G32" s="12"/>
      <c r="H32" s="12"/>
      <c r="I32" s="12"/>
      <c r="J32" s="12"/>
      <c r="K32" s="12"/>
      <c r="L32" s="12"/>
      <c r="O32" s="12"/>
      <c r="P32" s="128"/>
      <c r="R32" s="35"/>
      <c r="S32" s="24"/>
      <c r="T32" s="24" t="str">
        <f>C32</f>
        <v>(as per CEG P/L Debit Note No. DN086/2026 attached)</v>
      </c>
      <c r="U32" s="29"/>
      <c r="V32" s="29"/>
      <c r="W32" s="29"/>
      <c r="X32" s="29"/>
      <c r="Y32" s="29"/>
      <c r="Z32" s="29"/>
      <c r="AA32" s="29"/>
      <c r="AB32" s="29"/>
      <c r="AC32" s="29"/>
      <c r="AD32" s="2"/>
      <c r="AE32" s="2"/>
      <c r="AF32" s="29"/>
      <c r="AG32" s="36"/>
      <c r="AH32" s="26"/>
    </row>
    <row r="33" spans="1:34" ht="10.15" customHeight="1" x14ac:dyDescent="0.2">
      <c r="A33" s="10"/>
      <c r="D33" s="12"/>
      <c r="E33" s="12"/>
      <c r="F33" s="12"/>
      <c r="G33" s="12"/>
      <c r="H33" s="12"/>
      <c r="I33" s="12"/>
      <c r="J33" s="12"/>
      <c r="K33" s="12"/>
      <c r="L33" s="12"/>
      <c r="M33" s="200"/>
      <c r="N33" s="201"/>
      <c r="O33" s="12"/>
      <c r="P33" s="128"/>
      <c r="R33" s="35"/>
      <c r="S33" s="24"/>
      <c r="T33" s="24"/>
      <c r="U33" s="29"/>
      <c r="V33" s="29"/>
      <c r="W33" s="29"/>
      <c r="X33" s="29"/>
      <c r="Y33" s="29"/>
      <c r="Z33" s="29"/>
      <c r="AA33" s="29"/>
      <c r="AB33" s="29"/>
      <c r="AC33" s="29"/>
      <c r="AD33" s="200"/>
      <c r="AE33" s="201"/>
      <c r="AF33" s="29"/>
      <c r="AG33" s="36"/>
      <c r="AH33" s="26"/>
    </row>
    <row r="34" spans="1:34" ht="12.75" customHeight="1" thickBot="1" x14ac:dyDescent="0.25">
      <c r="A34" s="10"/>
      <c r="D34" s="12"/>
      <c r="E34" s="12"/>
      <c r="F34" s="12"/>
      <c r="G34" s="12"/>
      <c r="H34" s="12"/>
      <c r="I34" s="12"/>
      <c r="J34" s="12"/>
      <c r="K34" s="12"/>
      <c r="L34" s="12"/>
      <c r="M34" s="16" t="s">
        <v>20</v>
      </c>
      <c r="N34" s="202">
        <f>SUM(N26:N32)</f>
        <v>170</v>
      </c>
      <c r="O34" s="12"/>
      <c r="P34" s="128"/>
      <c r="R34" s="35"/>
      <c r="S34" s="24"/>
      <c r="T34" s="24"/>
      <c r="U34" s="29"/>
      <c r="V34" s="29"/>
      <c r="W34" s="29"/>
      <c r="X34" s="29"/>
      <c r="Y34" s="29"/>
      <c r="Z34" s="29"/>
      <c r="AA34" s="29"/>
      <c r="AB34" s="29"/>
      <c r="AC34" s="29"/>
      <c r="AD34" s="16" t="str">
        <f>M34</f>
        <v>S$</v>
      </c>
      <c r="AE34" s="202">
        <f>N34</f>
        <v>170</v>
      </c>
      <c r="AF34" s="29"/>
      <c r="AG34" s="36"/>
      <c r="AH34" s="26"/>
    </row>
    <row r="35" spans="1:34" ht="13.5" thickTop="1" x14ac:dyDescent="0.2">
      <c r="A35" s="10"/>
      <c r="C35" s="12" t="s">
        <v>21</v>
      </c>
      <c r="E35" s="213" t="s">
        <v>294</v>
      </c>
      <c r="F35" s="213"/>
      <c r="G35" s="213"/>
      <c r="H35" s="213"/>
      <c r="I35" s="213"/>
      <c r="J35" s="213"/>
      <c r="K35" s="213"/>
      <c r="L35" s="213"/>
      <c r="M35" s="213"/>
      <c r="N35" s="213"/>
      <c r="O35" s="213"/>
      <c r="P35" s="128"/>
      <c r="R35" s="35"/>
      <c r="S35" s="24"/>
      <c r="T35" s="29" t="str">
        <f>C35</f>
        <v>Singapore Dollars</v>
      </c>
      <c r="U35" s="24"/>
      <c r="V35" s="214" t="str">
        <f>E35</f>
        <v>One Hundred Seventy only</v>
      </c>
      <c r="W35" s="214"/>
      <c r="X35" s="214"/>
      <c r="Y35" s="214"/>
      <c r="Z35" s="214"/>
      <c r="AA35" s="214"/>
      <c r="AB35" s="214"/>
      <c r="AC35" s="214"/>
      <c r="AD35" s="214"/>
      <c r="AE35" s="214"/>
      <c r="AF35" s="29"/>
      <c r="AG35" s="36"/>
      <c r="AH35" s="26"/>
    </row>
    <row r="36" spans="1:34" ht="9.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111" t="s">
        <v>27</v>
      </c>
      <c r="T52" s="65"/>
      <c r="U52" s="112"/>
      <c r="V52" s="66"/>
      <c r="W52" s="66"/>
      <c r="X52" s="66"/>
      <c r="Y52" s="66"/>
      <c r="Z52" s="66"/>
      <c r="AA52" s="66"/>
      <c r="AB52" s="66"/>
      <c r="AC52" s="66"/>
      <c r="AD52" s="66"/>
      <c r="AE52" s="66"/>
      <c r="AF52" s="66"/>
      <c r="AG52" s="66"/>
      <c r="AH52" s="113" t="s">
        <v>28</v>
      </c>
    </row>
    <row r="53" spans="1:34" ht="11.65" customHeight="1" x14ac:dyDescent="0.25">
      <c r="K53" s="9"/>
      <c r="L53" s="9"/>
      <c r="R53" s="43"/>
      <c r="S53" s="112"/>
      <c r="T53" s="66"/>
      <c r="U53" s="112"/>
      <c r="V53" s="66"/>
      <c r="W53" s="103"/>
      <c r="X53" s="103"/>
      <c r="Y53" s="103"/>
      <c r="Z53" s="103"/>
      <c r="AA53" s="103"/>
      <c r="AB53" s="103"/>
      <c r="AC53" s="66"/>
      <c r="AD53" s="114"/>
      <c r="AE53" s="103"/>
      <c r="AF53" s="103"/>
      <c r="AG53" s="103"/>
      <c r="AH53" s="115"/>
    </row>
    <row r="54" spans="1:34" ht="11.65" customHeight="1" x14ac:dyDescent="0.25">
      <c r="K54" s="9"/>
      <c r="L54" s="9"/>
      <c r="R54" s="43"/>
      <c r="S54" s="112"/>
      <c r="T54" s="66"/>
      <c r="U54" s="112"/>
      <c r="V54" s="66"/>
      <c r="W54" s="103"/>
      <c r="X54" s="103"/>
      <c r="Y54" s="103"/>
      <c r="Z54" s="103"/>
      <c r="AA54" s="116"/>
      <c r="AB54" s="117"/>
      <c r="AC54" s="66"/>
      <c r="AD54" s="111"/>
      <c r="AE54" s="66"/>
      <c r="AF54" s="117"/>
      <c r="AG54" s="103"/>
      <c r="AH54" s="118"/>
    </row>
    <row r="55" spans="1:34" ht="11.65" customHeight="1" x14ac:dyDescent="0.25">
      <c r="A55" s="9"/>
      <c r="B55" s="9"/>
      <c r="D55" s="9"/>
      <c r="K55" s="9"/>
      <c r="L55" s="9"/>
      <c r="R55" s="43"/>
      <c r="S55" s="119"/>
      <c r="T55" s="66"/>
      <c r="U55" s="120" t="s">
        <v>29</v>
      </c>
      <c r="V55" s="108"/>
      <c r="W55" s="103"/>
      <c r="X55" s="103"/>
      <c r="Y55" s="103"/>
      <c r="Z55" s="103"/>
      <c r="AA55" s="116"/>
      <c r="AB55" s="117"/>
      <c r="AC55" s="66"/>
      <c r="AD55" s="111"/>
      <c r="AE55" s="66"/>
      <c r="AF55" s="117"/>
      <c r="AG55" s="66"/>
      <c r="AH55" s="118"/>
    </row>
    <row r="56" spans="1:34" ht="11.65" customHeight="1" x14ac:dyDescent="0.25">
      <c r="A56" s="9"/>
      <c r="B56" s="9"/>
      <c r="D56" s="9"/>
      <c r="K56" s="9"/>
      <c r="L56" s="9"/>
      <c r="R56" s="24"/>
      <c r="S56" s="65"/>
      <c r="T56" s="121"/>
      <c r="U56" s="66"/>
      <c r="V56" s="66"/>
      <c r="W56" s="103"/>
      <c r="X56" s="114"/>
      <c r="Y56" s="103"/>
      <c r="Z56" s="103"/>
      <c r="AA56" s="116"/>
      <c r="AB56" s="117"/>
      <c r="AC56" s="66"/>
      <c r="AD56" s="111"/>
      <c r="AE56" s="66"/>
      <c r="AF56" s="117"/>
      <c r="AG56" s="66"/>
      <c r="AH56" s="118"/>
    </row>
    <row r="57" spans="1:34" ht="11.65" customHeight="1" x14ac:dyDescent="0.25">
      <c r="A57" s="9"/>
      <c r="B57" s="9"/>
      <c r="D57" s="9"/>
      <c r="K57" s="9"/>
      <c r="L57" s="9"/>
      <c r="R57" s="24"/>
      <c r="S57" s="66"/>
      <c r="T57" s="66"/>
      <c r="U57" s="116"/>
      <c r="V57" s="117"/>
      <c r="W57" s="66"/>
      <c r="X57" s="66"/>
      <c r="Y57" s="103"/>
      <c r="Z57" s="103"/>
      <c r="AA57" s="116"/>
      <c r="AB57" s="117"/>
      <c r="AC57" s="66"/>
      <c r="AD57" s="111"/>
      <c r="AE57" s="66"/>
      <c r="AF57" s="117"/>
      <c r="AG57" s="66"/>
      <c r="AH57" s="118"/>
    </row>
    <row r="58" spans="1:34" ht="11.65" customHeight="1" x14ac:dyDescent="0.25">
      <c r="A58" s="9"/>
      <c r="B58" s="9"/>
      <c r="D58" s="9"/>
      <c r="F58" s="9"/>
      <c r="G58" s="9"/>
      <c r="H58" s="9"/>
      <c r="I58" s="9"/>
      <c r="K58" s="9"/>
      <c r="L58" s="9"/>
      <c r="N58" s="20"/>
      <c r="O58" s="9"/>
      <c r="R58" s="24"/>
      <c r="S58" s="66"/>
      <c r="T58" s="66"/>
      <c r="U58" s="116"/>
      <c r="V58" s="117"/>
      <c r="W58" s="66"/>
      <c r="X58" s="66"/>
      <c r="Y58" s="103"/>
      <c r="Z58" s="103"/>
      <c r="AA58" s="116"/>
      <c r="AB58" s="117"/>
      <c r="AC58" s="66"/>
      <c r="AD58" s="103"/>
      <c r="AE58" s="103"/>
      <c r="AF58" s="103"/>
      <c r="AG58" s="66"/>
      <c r="AH58" s="68"/>
    </row>
    <row r="59" spans="1:34" ht="11.65" customHeight="1" x14ac:dyDescent="0.25">
      <c r="A59" s="9"/>
      <c r="B59" s="9"/>
      <c r="D59" s="9"/>
      <c r="F59" s="9"/>
      <c r="G59" s="9"/>
      <c r="H59" s="9"/>
      <c r="I59" s="9"/>
      <c r="K59" s="9"/>
      <c r="L59" s="9"/>
      <c r="R59" s="24"/>
      <c r="S59" s="66"/>
      <c r="T59" s="66"/>
      <c r="U59" s="116"/>
      <c r="V59" s="117"/>
      <c r="W59" s="66"/>
      <c r="X59" s="116"/>
      <c r="Y59" s="117"/>
      <c r="Z59" s="123"/>
      <c r="AA59" s="116"/>
      <c r="AB59" s="117"/>
      <c r="AC59" s="66"/>
      <c r="AD59" s="103"/>
      <c r="AE59" s="103"/>
      <c r="AF59" s="103"/>
      <c r="AG59" s="66"/>
      <c r="AH59" s="68"/>
    </row>
    <row r="60" spans="1:34" ht="11.65" customHeight="1" x14ac:dyDescent="0.25">
      <c r="A60" s="9"/>
      <c r="B60" s="9"/>
      <c r="D60" s="9"/>
      <c r="F60" s="9"/>
      <c r="G60" s="9"/>
      <c r="H60" s="9"/>
      <c r="I60" s="9"/>
      <c r="K60" s="9"/>
      <c r="L60" s="9"/>
      <c r="R60" s="24"/>
      <c r="S60" s="66"/>
      <c r="T60" s="66"/>
      <c r="U60" s="116"/>
      <c r="V60" s="117"/>
      <c r="W60" s="66"/>
      <c r="X60" s="116"/>
      <c r="Y60" s="117"/>
      <c r="Z60" s="123"/>
      <c r="AA60" s="116"/>
      <c r="AB60" s="117"/>
      <c r="AC60" s="66"/>
      <c r="AD60" s="103"/>
      <c r="AE60" s="103"/>
      <c r="AF60" s="103"/>
      <c r="AG60" s="66"/>
      <c r="AH60" s="68"/>
    </row>
    <row r="61" spans="1:34" ht="11.65" customHeight="1" x14ac:dyDescent="0.25">
      <c r="A61" s="9"/>
      <c r="B61" s="9"/>
      <c r="D61" s="9"/>
      <c r="F61" s="9"/>
      <c r="G61" s="9"/>
      <c r="H61" s="9"/>
      <c r="I61" s="9"/>
      <c r="K61" s="9"/>
      <c r="L61" s="9"/>
      <c r="R61" s="24"/>
      <c r="S61" s="66"/>
      <c r="T61" s="66"/>
      <c r="U61" s="116"/>
      <c r="V61" s="117"/>
      <c r="W61" s="66"/>
      <c r="X61" s="116"/>
      <c r="Y61" s="117"/>
      <c r="Z61" s="123"/>
      <c r="AA61" s="116"/>
      <c r="AB61" s="117"/>
      <c r="AC61" s="66"/>
      <c r="AD61" s="111"/>
      <c r="AE61" s="66"/>
      <c r="AF61" s="117"/>
      <c r="AG61" s="66"/>
      <c r="AH61" s="118"/>
    </row>
    <row r="62" spans="1:34" ht="13.5" x14ac:dyDescent="0.25">
      <c r="A62" s="9"/>
      <c r="B62" s="9"/>
      <c r="C62" s="9"/>
      <c r="D62" s="9"/>
      <c r="G62" s="9"/>
      <c r="H62" s="9"/>
      <c r="I62" s="9"/>
      <c r="J62" s="9"/>
      <c r="K62" s="9"/>
      <c r="L62" s="9"/>
      <c r="M62" s="9"/>
      <c r="N62" s="9"/>
      <c r="O62" s="9"/>
      <c r="P62" s="9"/>
      <c r="Q62" s="9"/>
    </row>
  </sheetData>
  <mergeCells count="19">
    <mergeCell ref="AA48:AE48"/>
    <mergeCell ref="C19:F19"/>
    <mergeCell ref="K19:L19"/>
    <mergeCell ref="AB19:AC19"/>
    <mergeCell ref="C22:F22"/>
    <mergeCell ref="F23:G23"/>
    <mergeCell ref="W23:X23"/>
    <mergeCell ref="E35:O35"/>
    <mergeCell ref="V35:AE35"/>
    <mergeCell ref="T39:AE39"/>
    <mergeCell ref="T40:AE40"/>
    <mergeCell ref="AA44:AE44"/>
    <mergeCell ref="AC7:AE7"/>
    <mergeCell ref="AD9:AE9"/>
    <mergeCell ref="C17:G17"/>
    <mergeCell ref="T17:X17"/>
    <mergeCell ref="D18:H18"/>
    <mergeCell ref="AC18:AE18"/>
    <mergeCell ref="J17:K17"/>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5ACC0434-28A8-4568-A120-E9AEBC3E0D24}">
          <x14:formula1>
            <xm:f>'Drop down list '!$G$2:$G$36</xm:f>
          </x14:formula1>
          <xm:sqref>C22</xm:sqref>
        </x14:dataValidation>
        <x14:dataValidation type="list" allowBlank="1" showInputMessage="1" showErrorMessage="1" xr:uid="{8E2F11A1-5DDD-454B-8D4E-2553A721F98A}">
          <x14:formula1>
            <xm:f>'Drop down list '!$A$2:$A$8</xm:f>
          </x14:formula1>
          <xm:sqref>C17:G17</xm:sqref>
        </x14:dataValidation>
        <x14:dataValidation type="list" allowBlank="1" showInputMessage="1" showErrorMessage="1" xr:uid="{3B0C3445-C65B-40FE-9BA3-FBA9A59AEC93}">
          <x14:formula1>
            <xm:f>'Drop down list '!$H$2:$H$32</xm:f>
          </x14:formula1>
          <xm:sqref>M12 J19 E23</xm:sqref>
        </x14:dataValidation>
        <x14:dataValidation type="list" allowBlank="1" showInputMessage="1" showErrorMessage="1" xr:uid="{00F89AE0-48F9-4FBB-B00B-F7074B8C5315}">
          <x14:formula1>
            <xm:f>'Drop down list '!$F$2:$F$4</xm:f>
          </x14:formula1>
          <xm:sqref>J20</xm:sqref>
        </x14:dataValidation>
        <x14:dataValidation type="list" allowBlank="1" showInputMessage="1" showErrorMessage="1" xr:uid="{FB6C4AD2-B833-40D0-BE63-52EE3D0A3EF0}">
          <x14:formula1>
            <xm:f>'Drop down list '!$E$2:$E$4</xm:f>
          </x14:formula1>
          <xm:sqref>L18</xm:sqref>
        </x14:dataValidation>
        <x14:dataValidation type="list" allowBlank="1" showInputMessage="1" showErrorMessage="1" xr:uid="{00D8F72F-5D73-4F3E-BF67-8DFB1C5CBBBE}">
          <x14:formula1>
            <xm:f>'Drop down list '!$D$2:$D$3</xm:f>
          </x14:formula1>
          <xm:sqref>D18:H18</xm:sqref>
        </x14:dataValidation>
        <x14:dataValidation type="list" allowBlank="1" showInputMessage="1" showErrorMessage="1" xr:uid="{4A370B38-91A7-433B-85D5-4A8715FAA016}">
          <x14:formula1>
            <xm:f>'Drop down list '!$B$2:$B$6</xm:f>
          </x14:formula1>
          <xm:sqref>C19:F19</xm:sqref>
        </x14:dataValidation>
        <x14:dataValidation type="list" allowBlank="1" showInputMessage="1" showErrorMessage="1" xr:uid="{23DCD1CF-FF07-4615-AD3A-6BF63F605AE5}">
          <x14:formula1>
            <xm:f>'Drop down list '!$C$2:$C$16</xm:f>
          </x14:formula1>
          <xm:sqref>C18</xm:sqref>
        </x14:dataValidation>
        <x14:dataValidation type="list" allowBlank="1" showInputMessage="1" showErrorMessage="1" xr:uid="{6779FBEC-073D-4730-B05A-DC1DF12A2544}">
          <x14:formula1>
            <xm:f>'Drop down list '!$I$2:$I$4</xm:f>
          </x14:formula1>
          <xm:sqref>K19:L19 N12 F23:G23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5EFA0-A402-47BA-B831-10590FD9B2B4}">
  <sheetPr codeName="Sheet1064">
    <tabColor rgb="FFFFFF00"/>
    <pageSetUpPr fitToPage="1"/>
  </sheetPr>
  <dimension ref="A1:AH57"/>
  <sheetViews>
    <sheetView zoomScaleNormal="100" workbookViewId="0">
      <selection activeCell="H42" sqref="H42"/>
    </sheetView>
  </sheetViews>
  <sheetFormatPr defaultRowHeight="12.75" x14ac:dyDescent="0.2"/>
  <cols>
    <col min="1" max="1" width="4.570312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5.42578125" style="2" customWidth="1"/>
    <col min="8" max="8" width="3" style="2" bestFit="1" customWidth="1"/>
    <col min="9" max="9" width="6.7109375" style="2" customWidth="1"/>
    <col min="10" max="10" width="7" style="2" customWidth="1"/>
    <col min="11" max="11" width="6.42578125" style="2" bestFit="1" customWidth="1"/>
    <col min="12" max="12" width="7.7109375" style="2" customWidth="1"/>
    <col min="13" max="13" width="3" style="2" customWidth="1"/>
    <col min="14" max="14" width="9.140625" style="2" customWidth="1"/>
    <col min="15" max="15" width="3.28515625" style="2" customWidth="1"/>
    <col min="16" max="16" width="1.85546875" customWidth="1"/>
    <col min="17" max="17" width="2.85546875" customWidth="1"/>
    <col min="18" max="18" width="2.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6.42578125" bestFit="1" customWidth="1"/>
    <col min="29" max="29" width="7.7109375" customWidth="1"/>
    <col min="30" max="30" width="3" customWidth="1"/>
    <col min="31" max="31" width="10.140625" customWidth="1"/>
    <col min="32" max="32" width="1.85546875" customWidth="1"/>
    <col min="33" max="34" width="3.2851562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12</v>
      </c>
      <c r="L7" s="8" t="s">
        <v>17</v>
      </c>
      <c r="R7" s="24"/>
      <c r="S7" s="24"/>
      <c r="T7" s="28" t="str">
        <f>C7</f>
        <v>Singapore Tong Teik (Pte) Ltd</v>
      </c>
      <c r="U7" s="24"/>
      <c r="V7" s="24"/>
      <c r="W7" s="24"/>
      <c r="X7" s="24"/>
      <c r="Y7" s="24"/>
      <c r="Z7" s="24"/>
      <c r="AA7" s="24"/>
      <c r="AB7" s="24"/>
      <c r="AC7" s="217" t="s">
        <v>17</v>
      </c>
      <c r="AD7" s="217"/>
      <c r="AE7" s="217"/>
      <c r="AF7" s="24"/>
      <c r="AG7" s="24"/>
      <c r="AH7" s="26"/>
    </row>
    <row r="8" spans="1:34" x14ac:dyDescent="0.2">
      <c r="C8" s="12" t="s">
        <v>184</v>
      </c>
      <c r="R8" s="24"/>
      <c r="S8" s="24"/>
      <c r="T8" s="29" t="str">
        <f>C8</f>
        <v>7 Temasek Boulevard,</v>
      </c>
      <c r="U8" s="24"/>
      <c r="V8" s="24"/>
      <c r="W8" s="24"/>
      <c r="X8" s="24"/>
      <c r="Y8" s="24"/>
      <c r="Z8" s="24"/>
      <c r="AA8" s="24"/>
      <c r="AB8" s="24"/>
      <c r="AC8" s="24"/>
      <c r="AD8" s="24"/>
      <c r="AE8" s="24"/>
      <c r="AF8" s="24"/>
      <c r="AG8" s="24"/>
      <c r="AH8" s="26"/>
    </row>
    <row r="9" spans="1:34" x14ac:dyDescent="0.2">
      <c r="C9" s="12" t="s">
        <v>185</v>
      </c>
      <c r="L9" s="12" t="s">
        <v>18</v>
      </c>
      <c r="M9" s="136" t="s">
        <v>282</v>
      </c>
      <c r="R9" s="24"/>
      <c r="S9" s="24"/>
      <c r="T9" s="29" t="str">
        <f>C9</f>
        <v>#20-02 Suntec Tower One,</v>
      </c>
      <c r="U9" s="24"/>
      <c r="V9" s="24"/>
      <c r="W9" s="24"/>
      <c r="X9" s="24"/>
      <c r="Y9" s="24"/>
      <c r="Z9" s="24"/>
      <c r="AA9" s="24"/>
      <c r="AB9" s="24"/>
      <c r="AC9" s="29" t="s">
        <v>18</v>
      </c>
      <c r="AD9" s="214" t="str">
        <f>M9</f>
        <v>DN202608-32</v>
      </c>
      <c r="AE9" s="214"/>
      <c r="AF9" s="24"/>
      <c r="AG9" s="24"/>
      <c r="AH9" s="26"/>
    </row>
    <row r="10" spans="1:34" x14ac:dyDescent="0.2">
      <c r="C10" s="12" t="s">
        <v>186</v>
      </c>
      <c r="R10" s="24"/>
      <c r="S10" s="24"/>
      <c r="T10" s="29" t="str">
        <f>C10</f>
        <v>Singapore 038987</v>
      </c>
      <c r="U10" s="24"/>
      <c r="V10" s="24"/>
      <c r="W10" s="24"/>
      <c r="X10" s="24"/>
      <c r="Y10" s="24"/>
      <c r="Z10" s="24"/>
      <c r="AA10" s="24"/>
      <c r="AB10" s="24"/>
      <c r="AC10" s="24"/>
      <c r="AD10" s="24"/>
      <c r="AE10" s="24"/>
      <c r="AF10" s="24"/>
      <c r="AG10" s="24"/>
      <c r="AH10" s="26"/>
    </row>
    <row r="11" spans="1:34" x14ac:dyDescent="0.2">
      <c r="C11" s="12"/>
      <c r="R11" s="24"/>
      <c r="S11" s="24"/>
      <c r="T11" s="29"/>
      <c r="U11" s="24"/>
      <c r="V11" s="24"/>
      <c r="W11" s="24"/>
      <c r="X11" s="24"/>
      <c r="Y11" s="24"/>
      <c r="Z11" s="24"/>
      <c r="AA11" s="24"/>
      <c r="AB11" s="24"/>
      <c r="AC11" s="24"/>
      <c r="AD11" s="24"/>
      <c r="AE11" s="24"/>
      <c r="AF11" s="24"/>
      <c r="AG11" s="24"/>
      <c r="AH11" s="26"/>
    </row>
    <row r="12" spans="1:34" x14ac:dyDescent="0.2">
      <c r="C12" s="12"/>
      <c r="L12" s="144" t="s">
        <v>19</v>
      </c>
      <c r="M12" s="144">
        <v>27</v>
      </c>
      <c r="N12" s="145">
        <v>46259</v>
      </c>
      <c r="R12" s="24"/>
      <c r="S12" s="24"/>
      <c r="T12" s="29"/>
      <c r="U12" s="24"/>
      <c r="V12" s="24"/>
      <c r="W12" s="24"/>
      <c r="X12" s="24"/>
      <c r="Y12" s="24"/>
      <c r="Z12" s="24"/>
      <c r="AA12" s="24"/>
      <c r="AB12" s="24"/>
      <c r="AC12" s="147" t="s">
        <v>19</v>
      </c>
      <c r="AD12" s="30">
        <f>M12</f>
        <v>27</v>
      </c>
      <c r="AE12" s="146">
        <f>N12</f>
        <v>46259</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213" t="s">
        <v>12</v>
      </c>
      <c r="D16" s="216"/>
      <c r="E16" s="216"/>
      <c r="F16" s="216"/>
      <c r="G16" s="216"/>
      <c r="I16" s="136" t="s">
        <v>283</v>
      </c>
      <c r="L16" s="12"/>
      <c r="M16" s="12"/>
      <c r="N16" s="12"/>
      <c r="O16" s="12"/>
      <c r="P16" s="128"/>
      <c r="R16" s="35"/>
      <c r="S16" s="24"/>
      <c r="T16" s="214" t="str">
        <f>C16</f>
        <v>Singapore Tong Teik (Pte) Ltd</v>
      </c>
      <c r="U16" s="214"/>
      <c r="V16" s="214"/>
      <c r="W16" s="214"/>
      <c r="X16" s="214"/>
      <c r="Z16" s="12" t="str">
        <f>I16</f>
        <v>S/I No. S26-8017(A)</v>
      </c>
      <c r="AB16" s="24"/>
      <c r="AC16" s="29"/>
      <c r="AD16" s="29"/>
      <c r="AE16" s="29"/>
      <c r="AF16" s="29"/>
      <c r="AG16" s="36"/>
      <c r="AH16" s="26"/>
    </row>
    <row r="17" spans="1:34" ht="12.75" customHeight="1" x14ac:dyDescent="0.2">
      <c r="A17" s="10"/>
      <c r="C17" s="12">
        <v>96</v>
      </c>
      <c r="D17" s="216" t="s">
        <v>284</v>
      </c>
      <c r="E17" s="216"/>
      <c r="F17" s="216"/>
      <c r="G17" s="216"/>
      <c r="H17" s="216"/>
      <c r="I17" s="125">
        <f>C17/16*20.16</f>
        <v>120.96000000000001</v>
      </c>
      <c r="J17" s="12" t="s">
        <v>36</v>
      </c>
      <c r="K17" s="144" t="s">
        <v>285</v>
      </c>
      <c r="L17" s="148" t="s">
        <v>6</v>
      </c>
      <c r="M17" s="56"/>
      <c r="N17" s="12"/>
      <c r="O17" s="12"/>
      <c r="P17" s="128"/>
      <c r="R17" s="35"/>
      <c r="S17" s="24"/>
      <c r="T17" s="29">
        <f>C17</f>
        <v>96</v>
      </c>
      <c r="U17" s="29" t="str">
        <f>D17</f>
        <v>Metal Boxes (MB5)</v>
      </c>
      <c r="V17" s="29"/>
      <c r="W17" s="29"/>
      <c r="Z17" s="126">
        <f>I17</f>
        <v>120.96000000000001</v>
      </c>
      <c r="AA17" s="12" t="s">
        <v>37</v>
      </c>
      <c r="AB17" s="12" t="str">
        <f>K17</f>
        <v>6 x 20'</v>
      </c>
      <c r="AC17" s="12" t="str">
        <f>L17</f>
        <v>SMR 20 Rubber</v>
      </c>
      <c r="AD17" s="29"/>
      <c r="AE17" s="29"/>
      <c r="AF17" s="29"/>
      <c r="AG17" s="36"/>
      <c r="AH17" s="26"/>
    </row>
    <row r="18" spans="1:34" ht="12.75" customHeight="1" x14ac:dyDescent="0.2">
      <c r="A18" s="10"/>
      <c r="C18" s="136" t="s">
        <v>276</v>
      </c>
      <c r="D18" s="12"/>
      <c r="E18" s="12"/>
      <c r="F18" s="12"/>
      <c r="G18" s="12"/>
      <c r="H18" s="12"/>
      <c r="I18" s="12"/>
      <c r="J18" s="12"/>
      <c r="K18" s="12"/>
      <c r="L18" s="12"/>
      <c r="M18" s="12"/>
      <c r="N18" s="12"/>
      <c r="O18" s="12"/>
      <c r="P18" s="128"/>
      <c r="R18" s="35"/>
      <c r="S18" s="24"/>
      <c r="T18" s="29" t="str">
        <f>C18</f>
        <v>Shipped per Maersk Biscayne Voy 635S</v>
      </c>
      <c r="U18" s="29"/>
      <c r="V18" s="29"/>
      <c r="W18" s="29"/>
      <c r="X18" s="29"/>
      <c r="Y18" s="29"/>
      <c r="Z18" s="29"/>
      <c r="AA18" s="29"/>
      <c r="AB18" s="29"/>
      <c r="AC18" s="29"/>
      <c r="AD18" s="29"/>
      <c r="AE18" s="29"/>
      <c r="AF18" s="29"/>
      <c r="AG18" s="36"/>
      <c r="AH18" s="26"/>
    </row>
    <row r="19" spans="1:34" ht="12.75" customHeight="1" x14ac:dyDescent="0.2">
      <c r="A19" s="10"/>
      <c r="C19" s="12" t="s">
        <v>38</v>
      </c>
      <c r="D19" s="12"/>
      <c r="E19" s="12">
        <v>28</v>
      </c>
      <c r="F19" s="211">
        <v>46259</v>
      </c>
      <c r="G19" s="211"/>
      <c r="H19" s="12"/>
      <c r="I19" s="12"/>
      <c r="J19" s="12"/>
      <c r="K19" s="12"/>
      <c r="L19" s="12"/>
      <c r="M19" s="12"/>
      <c r="N19" s="12"/>
      <c r="O19" s="12"/>
      <c r="P19" s="128"/>
      <c r="R19" s="35"/>
      <c r="S19" s="24"/>
      <c r="T19" s="29" t="str">
        <f>C19</f>
        <v>B/L dated</v>
      </c>
      <c r="U19" s="29"/>
      <c r="V19" s="29">
        <f>E19</f>
        <v>28</v>
      </c>
      <c r="W19" s="212">
        <f>F19</f>
        <v>46259</v>
      </c>
      <c r="X19" s="212"/>
      <c r="Y19" s="29"/>
      <c r="Z19" s="29"/>
      <c r="AA19" s="29"/>
      <c r="AB19" s="29"/>
      <c r="AC19" s="29"/>
      <c r="AD19" s="29"/>
      <c r="AE19" s="29"/>
      <c r="AF19" s="29"/>
      <c r="AG19" s="36"/>
      <c r="AH19" s="26"/>
    </row>
    <row r="20" spans="1:34" ht="12.75" customHeight="1" x14ac:dyDescent="0.2">
      <c r="A20" s="10"/>
      <c r="C20" s="216" t="s">
        <v>277</v>
      </c>
      <c r="D20" s="216"/>
      <c r="E20" s="216"/>
      <c r="F20" s="216"/>
      <c r="G20" s="12"/>
      <c r="H20" s="12"/>
      <c r="I20" s="12"/>
      <c r="J20" s="12"/>
      <c r="K20" s="12"/>
      <c r="L20" s="12"/>
      <c r="M20" s="12"/>
      <c r="N20" s="12"/>
      <c r="O20" s="12"/>
      <c r="P20" s="128"/>
      <c r="R20" s="35"/>
      <c r="S20" s="24"/>
      <c r="T20" s="29" t="str">
        <f>C20</f>
        <v>To Fremantle, Australia</v>
      </c>
      <c r="U20" s="29"/>
      <c r="V20" s="29"/>
      <c r="W20" s="29"/>
      <c r="X20" s="29"/>
      <c r="Y20" s="29"/>
      <c r="Z20" s="29"/>
      <c r="AA20" s="29"/>
      <c r="AB20" s="29"/>
      <c r="AC20" s="29"/>
      <c r="AD20" s="29"/>
      <c r="AE20" s="29"/>
      <c r="AF20" s="29"/>
      <c r="AG20" s="36"/>
      <c r="AH20" s="26"/>
    </row>
    <row r="21" spans="1:34" ht="10.15" customHeight="1" x14ac:dyDescent="0.2">
      <c r="A21" s="10"/>
      <c r="C21" s="13"/>
      <c r="D21" s="4"/>
      <c r="E21" s="13"/>
      <c r="F21" s="13"/>
      <c r="G21" s="13"/>
      <c r="H21" s="13"/>
      <c r="I21" s="13"/>
      <c r="J21" s="13"/>
      <c r="K21" s="13"/>
      <c r="L21" s="13"/>
      <c r="M21" s="13"/>
      <c r="N21" s="13"/>
      <c r="O21" s="12"/>
      <c r="P21" s="128"/>
      <c r="R21" s="35"/>
      <c r="S21" s="24"/>
      <c r="T21" s="37"/>
      <c r="U21" s="38"/>
      <c r="V21" s="37"/>
      <c r="W21" s="37"/>
      <c r="X21" s="37"/>
      <c r="Y21" s="37"/>
      <c r="Z21" s="37"/>
      <c r="AA21" s="37"/>
      <c r="AB21" s="37"/>
      <c r="AC21" s="37"/>
      <c r="AD21" s="37"/>
      <c r="AE21" s="37"/>
      <c r="AF21" s="29"/>
      <c r="AG21" s="36"/>
      <c r="AH21" s="26"/>
    </row>
    <row r="22" spans="1:34" x14ac:dyDescent="0.2">
      <c r="A22" s="10"/>
      <c r="C22" s="12"/>
      <c r="E22" s="12"/>
      <c r="F22" s="12"/>
      <c r="G22" s="12"/>
      <c r="H22" s="12"/>
      <c r="I22" s="12"/>
      <c r="J22" s="12"/>
      <c r="K22" s="12"/>
      <c r="L22" s="12"/>
      <c r="M22" s="12"/>
      <c r="N22" s="12"/>
      <c r="O22" s="12"/>
      <c r="P22" s="128"/>
      <c r="R22" s="35"/>
      <c r="S22" s="24"/>
      <c r="T22" s="29"/>
      <c r="U22" s="24"/>
      <c r="V22" s="29"/>
      <c r="W22" s="29"/>
      <c r="X22" s="29"/>
      <c r="Y22" s="29"/>
      <c r="Z22" s="29"/>
      <c r="AA22" s="29"/>
      <c r="AB22" s="29"/>
      <c r="AC22" s="29"/>
      <c r="AD22" s="29"/>
      <c r="AE22" s="29"/>
      <c r="AF22" s="29"/>
      <c r="AG22" s="36"/>
      <c r="AH22" s="26"/>
    </row>
    <row r="23" spans="1:34" x14ac:dyDescent="0.2">
      <c r="A23" s="10"/>
      <c r="C23" s="12" t="s">
        <v>187</v>
      </c>
      <c r="E23" s="12"/>
      <c r="F23" s="12"/>
      <c r="G23" s="12"/>
      <c r="H23" s="12"/>
      <c r="I23" s="12"/>
      <c r="J23" s="60"/>
      <c r="L23" s="12"/>
      <c r="M23" s="12" t="s">
        <v>20</v>
      </c>
      <c r="N23" s="14">
        <v>1680</v>
      </c>
      <c r="O23" s="14"/>
      <c r="P23" s="128"/>
      <c r="R23" s="35"/>
      <c r="S23" s="24"/>
      <c r="T23" s="29" t="str">
        <f>C23</f>
        <v xml:space="preserve">Origin T.H.C paid on your behalf for </v>
      </c>
      <c r="U23" s="24"/>
      <c r="V23" s="29"/>
      <c r="W23" s="29"/>
      <c r="X23" s="29"/>
      <c r="Y23" s="29"/>
      <c r="Z23" s="190"/>
      <c r="AA23" s="59"/>
      <c r="AB23" s="2"/>
      <c r="AC23" s="29"/>
      <c r="AD23" s="29" t="s">
        <v>20</v>
      </c>
      <c r="AE23" s="39">
        <f>N23</f>
        <v>1680</v>
      </c>
      <c r="AF23" s="39"/>
      <c r="AG23" s="40"/>
      <c r="AH23" s="26"/>
    </row>
    <row r="24" spans="1:34" x14ac:dyDescent="0.2">
      <c r="A24" s="10"/>
      <c r="C24" s="12" t="s">
        <v>286</v>
      </c>
      <c r="E24" s="12"/>
      <c r="F24" s="12"/>
      <c r="G24" s="12"/>
      <c r="H24" s="12"/>
      <c r="L24" s="12"/>
      <c r="M24" s="12"/>
      <c r="N24" s="14"/>
      <c r="O24" s="14"/>
      <c r="P24" s="128"/>
      <c r="R24" s="35"/>
      <c r="S24" s="24"/>
      <c r="T24" s="29" t="str">
        <f>C24</f>
        <v xml:space="preserve">6 x 20' SMR20 as per photocopy of </v>
      </c>
      <c r="U24" s="24"/>
      <c r="V24" s="29"/>
      <c r="W24" s="29"/>
      <c r="X24" s="29"/>
      <c r="Y24" s="29"/>
      <c r="Z24" s="29"/>
      <c r="AA24" s="29"/>
      <c r="AB24" s="24"/>
      <c r="AC24" s="29"/>
      <c r="AD24" s="29"/>
      <c r="AE24" s="39"/>
      <c r="AF24" s="39"/>
      <c r="AG24" s="40"/>
      <c r="AH24" s="26"/>
    </row>
    <row r="25" spans="1:34" x14ac:dyDescent="0.2">
      <c r="A25" s="10"/>
      <c r="C25" s="12" t="s">
        <v>188</v>
      </c>
      <c r="E25" s="12"/>
      <c r="F25" s="12"/>
      <c r="G25" s="12"/>
      <c r="H25" s="12"/>
      <c r="I25" s="12"/>
      <c r="L25" s="12"/>
      <c r="M25" s="12"/>
      <c r="N25" s="14"/>
      <c r="O25" s="14"/>
      <c r="P25" s="128"/>
      <c r="R25" s="35"/>
      <c r="S25" s="24"/>
      <c r="T25" s="29" t="str">
        <f>C25</f>
        <v>MEGA-AIR PTE LTD</v>
      </c>
      <c r="U25" s="24"/>
      <c r="V25" s="29"/>
      <c r="W25" s="29"/>
      <c r="X25" s="29"/>
      <c r="Y25" s="29"/>
      <c r="Z25" s="29"/>
      <c r="AA25" s="24"/>
      <c r="AB25" s="24"/>
      <c r="AC25" s="29"/>
      <c r="AD25" s="29"/>
      <c r="AE25" s="39"/>
      <c r="AF25" s="39"/>
      <c r="AG25" s="40"/>
      <c r="AH25" s="26"/>
    </row>
    <row r="26" spans="1:34" x14ac:dyDescent="0.2">
      <c r="A26" s="10"/>
      <c r="C26" s="2" t="s">
        <v>287</v>
      </c>
      <c r="D26" s="12"/>
      <c r="E26" s="12"/>
      <c r="F26" s="12"/>
      <c r="G26" s="12"/>
      <c r="H26" s="12"/>
      <c r="I26" s="12"/>
      <c r="J26" s="12"/>
      <c r="K26" s="12"/>
      <c r="L26" s="12"/>
      <c r="M26" s="13"/>
      <c r="N26" s="15"/>
      <c r="O26" s="14"/>
      <c r="P26" s="128"/>
      <c r="R26" s="35"/>
      <c r="S26" s="24"/>
      <c r="T26" s="24" t="str">
        <f>C26</f>
        <v>Invoice No. IVSE26080002</v>
      </c>
      <c r="U26" s="29"/>
      <c r="V26" s="29"/>
      <c r="W26" s="29"/>
      <c r="X26" s="29"/>
      <c r="Y26" s="29"/>
      <c r="Z26" s="29"/>
      <c r="AA26" s="29"/>
      <c r="AB26" s="29"/>
      <c r="AC26" s="29"/>
      <c r="AD26" s="37"/>
      <c r="AE26" s="41"/>
      <c r="AF26" s="39"/>
      <c r="AG26" s="40"/>
      <c r="AH26" s="26"/>
    </row>
    <row r="27" spans="1:34" ht="10.15" customHeight="1" x14ac:dyDescent="0.2">
      <c r="A27" s="10"/>
      <c r="C27" s="2" t="s">
        <v>189</v>
      </c>
      <c r="D27" s="12"/>
      <c r="E27" s="12"/>
      <c r="F27" s="12"/>
      <c r="G27" s="12"/>
      <c r="H27" s="12"/>
      <c r="I27" s="12"/>
      <c r="J27" s="12"/>
      <c r="K27" s="12"/>
      <c r="L27" s="12"/>
      <c r="M27" s="12"/>
      <c r="N27" s="14"/>
      <c r="O27" s="14"/>
      <c r="P27" s="128"/>
      <c r="R27" s="35"/>
      <c r="S27" s="24"/>
      <c r="T27" s="24" t="str">
        <f>C27</f>
        <v>Attached</v>
      </c>
      <c r="U27" s="29"/>
      <c r="V27" s="29"/>
      <c r="W27" s="29"/>
      <c r="X27" s="29"/>
      <c r="Y27" s="29"/>
      <c r="Z27" s="29"/>
      <c r="AA27" s="29"/>
      <c r="AB27" s="29"/>
      <c r="AC27" s="29"/>
      <c r="AD27" s="29"/>
      <c r="AE27" s="39"/>
      <c r="AF27" s="39"/>
      <c r="AG27" s="40"/>
      <c r="AH27" s="26"/>
    </row>
    <row r="28" spans="1:34" x14ac:dyDescent="0.2">
      <c r="A28" s="10"/>
      <c r="D28" s="12"/>
      <c r="E28" s="12"/>
      <c r="F28" s="12"/>
      <c r="G28" s="12"/>
      <c r="H28" s="12"/>
      <c r="I28" s="12"/>
      <c r="J28" s="12"/>
      <c r="K28" s="12"/>
      <c r="L28" s="12"/>
      <c r="M28" s="12" t="s">
        <v>20</v>
      </c>
      <c r="N28" s="14">
        <f>SUM(N23:N25)</f>
        <v>1680</v>
      </c>
      <c r="O28" s="14"/>
      <c r="P28" s="128"/>
      <c r="R28" s="35"/>
      <c r="S28" s="24"/>
      <c r="T28" s="24"/>
      <c r="U28" s="29"/>
      <c r="V28" s="29"/>
      <c r="W28" s="29"/>
      <c r="X28" s="29"/>
      <c r="Y28" s="29"/>
      <c r="Z28" s="29"/>
      <c r="AA28" s="29"/>
      <c r="AB28" s="29"/>
      <c r="AC28" s="29"/>
      <c r="AD28" s="29" t="s">
        <v>20</v>
      </c>
      <c r="AE28" s="39">
        <f>SUM(AE23:AE25)</f>
        <v>1680</v>
      </c>
      <c r="AF28" s="39"/>
      <c r="AG28" s="40"/>
      <c r="AH28" s="26"/>
    </row>
    <row r="29" spans="1:34" ht="10.15" customHeight="1" thickBot="1" x14ac:dyDescent="0.25">
      <c r="A29" s="10"/>
      <c r="D29" s="12"/>
      <c r="E29" s="12"/>
      <c r="F29" s="12"/>
      <c r="G29" s="12"/>
      <c r="H29" s="12"/>
      <c r="I29" s="12"/>
      <c r="J29" s="12"/>
      <c r="K29" s="12"/>
      <c r="L29" s="12"/>
      <c r="M29" s="16"/>
      <c r="N29" s="16"/>
      <c r="O29" s="12"/>
      <c r="P29" s="128"/>
      <c r="R29" s="35"/>
      <c r="S29" s="24"/>
      <c r="T29" s="24"/>
      <c r="U29" s="29"/>
      <c r="V29" s="29"/>
      <c r="W29" s="29"/>
      <c r="X29" s="29"/>
      <c r="Y29" s="29"/>
      <c r="Z29" s="29"/>
      <c r="AA29" s="29"/>
      <c r="AB29" s="29"/>
      <c r="AC29" s="29"/>
      <c r="AD29" s="42"/>
      <c r="AE29" s="42"/>
      <c r="AF29" s="29"/>
      <c r="AG29" s="36"/>
      <c r="AH29" s="26"/>
    </row>
    <row r="30" spans="1:34" ht="10.15" customHeight="1" thickTop="1" x14ac:dyDescent="0.2">
      <c r="A30" s="10"/>
      <c r="D30" s="12"/>
      <c r="E30" s="12"/>
      <c r="F30" s="12"/>
      <c r="G30" s="12"/>
      <c r="H30" s="12"/>
      <c r="I30" s="12"/>
      <c r="J30" s="12"/>
      <c r="K30" s="12"/>
      <c r="L30" s="12"/>
      <c r="M30" s="12"/>
      <c r="N30" s="12"/>
      <c r="O30" s="12"/>
      <c r="P30" s="128"/>
      <c r="R30" s="35"/>
      <c r="S30" s="24"/>
      <c r="T30" s="24"/>
      <c r="U30" s="29"/>
      <c r="V30" s="29"/>
      <c r="W30" s="29"/>
      <c r="X30" s="29"/>
      <c r="Y30" s="29"/>
      <c r="Z30" s="29"/>
      <c r="AA30" s="29"/>
      <c r="AB30" s="29"/>
      <c r="AC30" s="29"/>
      <c r="AD30" s="29"/>
      <c r="AE30" s="29"/>
      <c r="AF30" s="29"/>
      <c r="AG30" s="36"/>
      <c r="AH30" s="26"/>
    </row>
    <row r="31" spans="1:34" ht="12.75" customHeight="1" x14ac:dyDescent="0.2">
      <c r="A31" s="10"/>
      <c r="D31" s="12"/>
      <c r="E31" s="12"/>
      <c r="F31" s="12"/>
      <c r="G31" s="12"/>
      <c r="H31" s="12"/>
      <c r="I31" s="12"/>
      <c r="J31" s="12"/>
      <c r="K31" s="12"/>
      <c r="L31" s="12"/>
      <c r="M31" s="12"/>
      <c r="N31" s="12"/>
      <c r="O31" s="12"/>
      <c r="P31" s="128"/>
      <c r="R31" s="35"/>
      <c r="S31" s="24"/>
      <c r="T31" s="24"/>
      <c r="U31" s="29"/>
      <c r="V31" s="29"/>
      <c r="W31" s="29"/>
      <c r="X31" s="29"/>
      <c r="Y31" s="29"/>
      <c r="Z31" s="29"/>
      <c r="AA31" s="29"/>
      <c r="AB31" s="29"/>
      <c r="AC31" s="29"/>
      <c r="AD31" s="29"/>
      <c r="AE31" s="29"/>
      <c r="AF31" s="29"/>
      <c r="AG31" s="36"/>
      <c r="AH31" s="26"/>
    </row>
    <row r="32" spans="1:34" x14ac:dyDescent="0.2">
      <c r="A32" s="10"/>
      <c r="C32" s="12" t="s">
        <v>190</v>
      </c>
      <c r="E32" s="213" t="s">
        <v>288</v>
      </c>
      <c r="F32" s="213"/>
      <c r="G32" s="213"/>
      <c r="H32" s="213"/>
      <c r="I32" s="213"/>
      <c r="J32" s="213"/>
      <c r="K32" s="213"/>
      <c r="L32" s="213"/>
      <c r="M32" s="213"/>
      <c r="N32" s="213"/>
      <c r="O32" s="213"/>
      <c r="P32" s="128"/>
      <c r="R32" s="35"/>
      <c r="S32" s="24"/>
      <c r="T32" s="29" t="str">
        <f>C32</f>
        <v xml:space="preserve">Singapore Dollars </v>
      </c>
      <c r="U32" s="24"/>
      <c r="V32" s="214" t="str">
        <f>E32</f>
        <v>One Thousand Six Hundred Eighty Only</v>
      </c>
      <c r="W32" s="214"/>
      <c r="X32" s="214"/>
      <c r="Y32" s="214"/>
      <c r="Z32" s="214"/>
      <c r="AA32" s="214"/>
      <c r="AB32" s="214"/>
      <c r="AC32" s="214"/>
      <c r="AD32" s="214"/>
      <c r="AE32" s="214"/>
      <c r="AF32" s="29"/>
      <c r="AG32" s="36"/>
      <c r="AH32" s="26"/>
    </row>
    <row r="33" spans="1:34" ht="12.75" customHeight="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P34" s="128"/>
      <c r="R34" s="35"/>
      <c r="S34" s="24"/>
      <c r="T34" s="24"/>
      <c r="U34" s="24"/>
      <c r="V34" s="24"/>
      <c r="W34" s="24"/>
      <c r="X34" s="24"/>
      <c r="Y34" s="24"/>
      <c r="Z34" s="24"/>
      <c r="AA34" s="24"/>
      <c r="AB34" s="24"/>
      <c r="AC34" s="24"/>
      <c r="AD34" s="24"/>
      <c r="AE34" s="24"/>
      <c r="AF34" s="24"/>
      <c r="AG34" s="35"/>
      <c r="AH34" s="26"/>
    </row>
    <row r="35" spans="1:34" ht="12.75" customHeight="1" x14ac:dyDescent="0.2">
      <c r="R35" s="24"/>
      <c r="S35" s="24"/>
      <c r="T35" s="24"/>
      <c r="U35" s="24"/>
      <c r="V35" s="24"/>
      <c r="W35" s="24"/>
      <c r="X35" s="24"/>
      <c r="Y35" s="24"/>
      <c r="Z35" s="24"/>
      <c r="AA35" s="24"/>
      <c r="AB35" s="24"/>
      <c r="AC35" s="24"/>
      <c r="AD35" s="24"/>
      <c r="AE35" s="24"/>
      <c r="AF35" s="24"/>
      <c r="AG35" s="24"/>
      <c r="AH35" s="26"/>
    </row>
    <row r="36" spans="1:34" ht="12.75" customHeight="1" x14ac:dyDescent="0.2">
      <c r="R36" s="24"/>
      <c r="S36" s="24"/>
      <c r="T36" s="24"/>
      <c r="U36" s="24"/>
      <c r="V36" s="24"/>
      <c r="W36" s="24"/>
      <c r="X36" s="24"/>
      <c r="Y36" s="24"/>
      <c r="Z36" s="24"/>
      <c r="AA36" s="24"/>
      <c r="AB36" s="24"/>
      <c r="AC36" s="24"/>
      <c r="AD36" s="24"/>
      <c r="AE36" s="24"/>
      <c r="AF36" s="24"/>
      <c r="AG36" s="24"/>
      <c r="AH36" s="26"/>
    </row>
    <row r="37" spans="1:34" ht="12.75" customHeight="1" x14ac:dyDescent="0.2">
      <c r="D37" s="18"/>
      <c r="R37" s="24"/>
      <c r="S37" s="24"/>
      <c r="T37" s="24"/>
      <c r="U37" s="43"/>
      <c r="V37" s="24"/>
      <c r="W37" s="24"/>
      <c r="X37" s="24"/>
      <c r="Y37" s="24"/>
      <c r="Z37" s="24"/>
      <c r="AA37" s="24"/>
      <c r="AB37" s="24"/>
      <c r="AC37" s="24"/>
      <c r="AD37" s="24"/>
      <c r="AE37" s="24"/>
      <c r="AF37" s="24"/>
      <c r="AG37" s="24"/>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x14ac:dyDescent="0.2">
      <c r="N39" s="150" t="s">
        <v>23</v>
      </c>
      <c r="O39" s="150"/>
      <c r="R39" s="24"/>
      <c r="S39" s="24"/>
      <c r="T39" s="24"/>
      <c r="U39" s="24"/>
      <c r="V39" s="24"/>
      <c r="W39" s="24"/>
      <c r="X39" s="24"/>
      <c r="Y39" s="24"/>
      <c r="Z39" s="24"/>
      <c r="AA39" s="209" t="s">
        <v>24</v>
      </c>
      <c r="AB39" s="209"/>
      <c r="AC39" s="209"/>
      <c r="AD39" s="209"/>
      <c r="AE39" s="209"/>
      <c r="AF39" s="149"/>
      <c r="AG39" s="149"/>
      <c r="AH39" s="26"/>
    </row>
    <row r="40" spans="1:34" x14ac:dyDescent="0.2">
      <c r="R40" s="24"/>
      <c r="S40" s="24"/>
      <c r="T40" s="24"/>
      <c r="U40" s="24"/>
      <c r="V40" s="24"/>
      <c r="W40" s="24"/>
      <c r="X40" s="24"/>
      <c r="Y40" s="24"/>
      <c r="Z40" s="24"/>
      <c r="AA40" s="24"/>
      <c r="AB40" s="24"/>
      <c r="AC40" s="24"/>
      <c r="AD40" s="24"/>
      <c r="AE40" s="24"/>
      <c r="AF40" s="24"/>
      <c r="AG40" s="24"/>
      <c r="AH40" s="26"/>
    </row>
    <row r="41" spans="1:34" x14ac:dyDescent="0.2">
      <c r="R41" s="24"/>
      <c r="S41" s="24"/>
      <c r="T41" s="24"/>
      <c r="U41" s="24"/>
      <c r="V41" s="24"/>
      <c r="W41" s="24"/>
      <c r="X41" s="24"/>
      <c r="Y41" s="24"/>
      <c r="Z41" s="24"/>
      <c r="AA41" s="24"/>
      <c r="AB41" s="24"/>
      <c r="AC41" s="24"/>
      <c r="AD41" s="24"/>
      <c r="AE41" s="24"/>
      <c r="AF41" s="24"/>
      <c r="AG41" s="24"/>
      <c r="AH41" s="26"/>
    </row>
    <row r="42" spans="1:34" x14ac:dyDescent="0.2">
      <c r="R42" s="24"/>
      <c r="S42" s="24"/>
      <c r="T42" s="24"/>
      <c r="U42" s="24"/>
      <c r="V42" s="24"/>
      <c r="W42" s="24"/>
      <c r="X42" s="24"/>
      <c r="Y42" s="24"/>
      <c r="Z42" s="24"/>
      <c r="AA42" s="24"/>
      <c r="AB42" s="24"/>
      <c r="AC42" s="24"/>
      <c r="AD42" s="24"/>
      <c r="AE42" s="24"/>
      <c r="AF42" s="24"/>
      <c r="AG42" s="24"/>
      <c r="AH42" s="26"/>
    </row>
    <row r="43" spans="1:34" x14ac:dyDescent="0.2">
      <c r="N43" s="150" t="s">
        <v>25</v>
      </c>
      <c r="O43" s="150"/>
      <c r="R43" s="24"/>
      <c r="S43" s="24"/>
      <c r="T43" s="26"/>
      <c r="U43" s="24"/>
      <c r="V43" s="24"/>
      <c r="W43" s="24"/>
      <c r="X43" s="24"/>
      <c r="Y43" s="24"/>
      <c r="Z43" s="24"/>
      <c r="AA43" s="210" t="s">
        <v>25</v>
      </c>
      <c r="AB43" s="210"/>
      <c r="AC43" s="210"/>
      <c r="AD43" s="210"/>
      <c r="AE43" s="210"/>
      <c r="AF43" s="149"/>
      <c r="AG43" s="149"/>
      <c r="AH43" s="26"/>
    </row>
    <row r="44" spans="1:34" ht="12.75" customHeight="1" x14ac:dyDescent="0.2">
      <c r="C44" s="19" t="s">
        <v>26</v>
      </c>
      <c r="R44" s="24"/>
      <c r="S44" s="24"/>
      <c r="T44" s="44" t="s">
        <v>26</v>
      </c>
      <c r="U44" s="24"/>
      <c r="V44" s="24"/>
      <c r="W44" s="24"/>
      <c r="X44" s="24"/>
      <c r="Y44" s="24"/>
      <c r="Z44" s="24"/>
      <c r="AA44" s="24"/>
      <c r="AB44" s="24"/>
      <c r="AC44" s="24"/>
      <c r="AD44" s="24"/>
      <c r="AE44" s="24"/>
      <c r="AF44" s="24"/>
      <c r="AG44" s="24"/>
      <c r="AH44" s="26"/>
    </row>
    <row r="45" spans="1:34" ht="12.75" customHeight="1" x14ac:dyDescent="0.2">
      <c r="R45" s="24"/>
      <c r="S45" s="38"/>
      <c r="T45" s="38"/>
      <c r="U45" s="38"/>
      <c r="V45" s="38"/>
      <c r="W45" s="38"/>
      <c r="X45" s="38"/>
      <c r="Y45" s="38"/>
      <c r="Z45" s="38"/>
      <c r="AA45" s="38"/>
      <c r="AB45" s="38"/>
      <c r="AC45" s="38"/>
      <c r="AD45" s="38"/>
      <c r="AE45" s="38"/>
      <c r="AF45" s="38"/>
      <c r="AG45" s="24"/>
      <c r="AH45" s="26"/>
    </row>
    <row r="46" spans="1:34" ht="3" customHeight="1" x14ac:dyDescent="0.2">
      <c r="R46" s="24"/>
      <c r="S46" s="24"/>
      <c r="T46" s="24"/>
      <c r="U46" s="24"/>
      <c r="V46" s="24"/>
      <c r="W46" s="24"/>
      <c r="X46" s="24"/>
      <c r="Y46" s="24"/>
      <c r="Z46" s="24"/>
      <c r="AA46" s="24"/>
      <c r="AB46" s="24"/>
      <c r="AC46" s="24"/>
      <c r="AD46" s="24"/>
      <c r="AE46" s="24"/>
      <c r="AF46" s="24"/>
      <c r="AG46" s="24"/>
      <c r="AH46" s="26"/>
    </row>
    <row r="47" spans="1:34" ht="11.65" customHeight="1" x14ac:dyDescent="0.25">
      <c r="C47" s="12"/>
      <c r="D47" s="190" t="s">
        <v>191</v>
      </c>
      <c r="E47" s="12" t="s">
        <v>192</v>
      </c>
      <c r="F47" s="12"/>
      <c r="G47" s="12"/>
      <c r="H47" s="12"/>
      <c r="I47" s="12"/>
      <c r="J47" s="12"/>
      <c r="K47" s="9"/>
      <c r="L47" s="9"/>
      <c r="S47" s="45"/>
      <c r="T47" s="45" t="s">
        <v>27</v>
      </c>
      <c r="U47" s="24"/>
      <c r="V47" s="24"/>
      <c r="W47" s="24"/>
      <c r="X47" s="24"/>
      <c r="Y47" s="24"/>
      <c r="Z47" s="24"/>
      <c r="AA47" s="24"/>
      <c r="AB47" s="24"/>
      <c r="AC47" s="24"/>
      <c r="AD47" s="24"/>
      <c r="AE47" s="24"/>
      <c r="AF47" s="24"/>
      <c r="AG47" s="24"/>
      <c r="AH47" s="26"/>
    </row>
    <row r="48" spans="1:34" ht="11.65" customHeight="1" x14ac:dyDescent="0.25">
      <c r="C48" s="12"/>
      <c r="D48" s="12"/>
      <c r="E48" s="12" t="s">
        <v>193</v>
      </c>
      <c r="F48" s="12"/>
      <c r="G48" s="12"/>
      <c r="H48" s="12"/>
      <c r="I48" s="12"/>
      <c r="J48" s="12"/>
      <c r="K48" s="9"/>
      <c r="L48" s="9"/>
      <c r="R48" s="43"/>
      <c r="S48" s="43"/>
      <c r="T48" s="43"/>
      <c r="U48" s="43"/>
      <c r="V48" s="43"/>
      <c r="W48" s="43"/>
      <c r="X48" s="43"/>
      <c r="Y48" s="43"/>
      <c r="Z48" s="43"/>
      <c r="AA48" s="43"/>
      <c r="AB48" s="24"/>
      <c r="AC48" s="46"/>
      <c r="AD48" s="43"/>
      <c r="AE48" s="43"/>
      <c r="AF48" s="43"/>
      <c r="AG48" s="43"/>
      <c r="AH48" s="47"/>
    </row>
    <row r="49" spans="1:34" ht="11.65" customHeight="1" x14ac:dyDescent="0.25">
      <c r="C49" s="221" t="s">
        <v>194</v>
      </c>
      <c r="D49" s="221"/>
      <c r="E49" s="12" t="s">
        <v>195</v>
      </c>
      <c r="F49" s="12"/>
      <c r="G49" s="12"/>
      <c r="H49" s="12"/>
      <c r="I49" s="12"/>
      <c r="J49" s="12"/>
      <c r="K49" s="9"/>
      <c r="L49" s="9"/>
      <c r="R49" s="43"/>
      <c r="S49" s="29"/>
      <c r="T49" s="124"/>
      <c r="U49" s="124" t="str">
        <f>D47</f>
        <v>Bank Name:</v>
      </c>
      <c r="V49" s="29" t="str">
        <f>E47</f>
        <v>OCBC Bank</v>
      </c>
      <c r="W49" s="29"/>
      <c r="X49" s="29"/>
      <c r="Y49" s="29"/>
      <c r="AB49" s="24"/>
      <c r="AF49" s="43"/>
      <c r="AG49" s="43"/>
      <c r="AH49" s="61"/>
    </row>
    <row r="50" spans="1:34" ht="11.65" customHeight="1" x14ac:dyDescent="0.25">
      <c r="A50" s="9"/>
      <c r="B50" s="9"/>
      <c r="C50" s="221" t="s">
        <v>196</v>
      </c>
      <c r="D50" s="221"/>
      <c r="E50" s="222" t="s">
        <v>197</v>
      </c>
      <c r="F50" s="223"/>
      <c r="G50" s="223"/>
      <c r="H50" s="12"/>
      <c r="I50" s="12"/>
      <c r="J50" s="12"/>
      <c r="K50" s="9"/>
      <c r="L50" s="9"/>
      <c r="R50" s="43"/>
      <c r="S50" s="29"/>
      <c r="T50" s="124"/>
      <c r="U50" s="124"/>
      <c r="V50" s="29" t="str">
        <f>E48</f>
        <v>65 Chulia Streeet, OCBC Centre</v>
      </c>
      <c r="W50" s="29"/>
      <c r="X50" s="29"/>
      <c r="Y50" s="29"/>
      <c r="Z50" s="147"/>
      <c r="AA50" s="191"/>
      <c r="AB50" s="24"/>
      <c r="AC50" s="45"/>
      <c r="AD50" s="24"/>
      <c r="AE50" s="23"/>
      <c r="AF50" s="24"/>
      <c r="AG50" s="24"/>
      <c r="AH50" s="61"/>
    </row>
    <row r="51" spans="1:34" ht="11.65" customHeight="1" x14ac:dyDescent="0.25">
      <c r="A51" s="9"/>
      <c r="B51" s="9"/>
      <c r="C51" s="12"/>
      <c r="D51" s="190" t="s">
        <v>198</v>
      </c>
      <c r="E51" s="12" t="s">
        <v>199</v>
      </c>
      <c r="F51" s="12"/>
      <c r="G51" s="12"/>
      <c r="H51" s="12"/>
      <c r="I51" s="12"/>
      <c r="J51" s="12"/>
      <c r="K51" s="9"/>
      <c r="L51" s="9"/>
      <c r="R51" s="24"/>
      <c r="S51" s="29"/>
      <c r="T51" s="224" t="str">
        <f>C49</f>
        <v>Beneficiary Name:</v>
      </c>
      <c r="U51" s="224"/>
      <c r="V51" s="29" t="str">
        <f>E49</f>
        <v>Dinamik Shipping Pte Ltd</v>
      </c>
      <c r="W51" s="39"/>
      <c r="X51" s="29"/>
      <c r="Y51" s="29"/>
      <c r="Z51" s="147"/>
      <c r="AA51" s="191"/>
      <c r="AB51" s="24"/>
      <c r="AC51" s="45"/>
      <c r="AD51" s="24"/>
      <c r="AE51" s="23"/>
      <c r="AF51" s="24"/>
      <c r="AG51" s="24"/>
      <c r="AH51" s="61"/>
    </row>
    <row r="52" spans="1:34" ht="11.65" customHeight="1" x14ac:dyDescent="0.25">
      <c r="A52" s="9"/>
      <c r="B52" s="9"/>
      <c r="C52" s="12"/>
      <c r="D52" s="192"/>
      <c r="E52" s="12"/>
      <c r="F52" s="12"/>
      <c r="G52" s="12"/>
      <c r="H52" s="12"/>
      <c r="I52" s="12"/>
      <c r="J52" s="12"/>
      <c r="K52" s="9"/>
      <c r="L52" s="9"/>
      <c r="R52" s="24"/>
      <c r="S52" s="29"/>
      <c r="T52" s="224" t="str">
        <f>C50</f>
        <v>Bank Account No:</v>
      </c>
      <c r="U52" s="224"/>
      <c r="V52" s="29" t="str">
        <f>E50</f>
        <v>651869620001</v>
      </c>
      <c r="W52" s="29"/>
      <c r="X52" s="29"/>
      <c r="Y52" s="29"/>
      <c r="Z52" s="147"/>
      <c r="AA52" s="191"/>
      <c r="AB52" s="24"/>
      <c r="AC52" s="45"/>
      <c r="AD52" s="24"/>
      <c r="AE52" s="23"/>
      <c r="AF52" s="24"/>
      <c r="AG52" s="24"/>
      <c r="AH52" s="61"/>
    </row>
    <row r="53" spans="1:34" ht="11.65" customHeight="1" x14ac:dyDescent="0.25">
      <c r="A53" s="9"/>
      <c r="B53" s="9"/>
      <c r="C53" s="12"/>
      <c r="D53" s="192"/>
      <c r="E53" s="12"/>
      <c r="F53" s="192"/>
      <c r="G53" s="192"/>
      <c r="H53" s="192"/>
      <c r="I53" s="192"/>
      <c r="J53" s="12"/>
      <c r="K53" s="9"/>
      <c r="L53" s="9"/>
      <c r="N53" s="20"/>
      <c r="O53" s="9"/>
      <c r="R53" s="24"/>
      <c r="S53" s="29"/>
      <c r="T53" s="124"/>
      <c r="U53" s="193" t="s">
        <v>198</v>
      </c>
      <c r="V53" s="29" t="str">
        <f>E51</f>
        <v>200403109N</v>
      </c>
      <c r="W53" s="147"/>
      <c r="X53" s="191"/>
      <c r="Y53" s="29"/>
      <c r="Z53" s="147"/>
      <c r="AA53" s="191"/>
      <c r="AB53" s="24"/>
      <c r="AC53" s="45"/>
      <c r="AD53" s="24"/>
      <c r="AE53" s="23"/>
      <c r="AF53" s="24"/>
      <c r="AG53" s="24"/>
      <c r="AH53" s="26"/>
    </row>
    <row r="54" spans="1:34" ht="11.65" customHeight="1" x14ac:dyDescent="0.25">
      <c r="A54" s="9"/>
      <c r="B54" s="9"/>
      <c r="D54" s="9"/>
      <c r="F54" s="9"/>
      <c r="G54" s="9"/>
      <c r="H54" s="9"/>
      <c r="I54" s="9"/>
      <c r="K54" s="9"/>
      <c r="L54" s="9"/>
      <c r="R54" s="24"/>
      <c r="S54" s="29"/>
      <c r="T54" s="29"/>
      <c r="U54" s="191"/>
      <c r="V54" s="29"/>
      <c r="W54" s="147"/>
      <c r="X54" s="191"/>
      <c r="Y54" s="194"/>
      <c r="Z54" s="195"/>
      <c r="AA54" s="191"/>
      <c r="AB54" s="24"/>
      <c r="AC54" s="43"/>
      <c r="AD54" s="43"/>
      <c r="AE54" s="43"/>
      <c r="AF54" s="24"/>
      <c r="AG54" s="24"/>
      <c r="AH54" s="26"/>
    </row>
    <row r="55" spans="1:34" ht="11.65" customHeight="1" x14ac:dyDescent="0.25">
      <c r="A55" s="9"/>
      <c r="B55" s="9"/>
      <c r="D55" s="9"/>
      <c r="F55" s="9"/>
      <c r="G55" s="9"/>
      <c r="H55" s="9"/>
      <c r="I55" s="9"/>
      <c r="K55" s="9"/>
      <c r="L55" s="9"/>
      <c r="R55" s="24"/>
      <c r="S55" s="24"/>
      <c r="T55" s="196"/>
      <c r="U55" s="23"/>
      <c r="V55" s="24"/>
      <c r="W55" s="196"/>
      <c r="X55" s="23"/>
      <c r="Y55" s="52"/>
      <c r="Z55" s="196"/>
      <c r="AA55" s="23"/>
      <c r="AB55" s="24"/>
      <c r="AC55" s="43"/>
      <c r="AD55" s="43"/>
      <c r="AE55" s="43"/>
      <c r="AF55" s="24"/>
      <c r="AG55" s="24"/>
      <c r="AH55" s="26"/>
    </row>
    <row r="56" spans="1:34" ht="11.65" customHeight="1" x14ac:dyDescent="0.25">
      <c r="A56" s="9"/>
      <c r="B56" s="9"/>
      <c r="D56" s="9"/>
      <c r="F56" s="9"/>
      <c r="G56" s="9"/>
      <c r="H56" s="9"/>
      <c r="I56" s="9"/>
      <c r="K56" s="9"/>
      <c r="L56" s="9"/>
      <c r="R56" s="24"/>
      <c r="S56" s="24"/>
      <c r="T56" s="196"/>
      <c r="U56" s="23"/>
      <c r="V56" s="24"/>
      <c r="W56" s="196"/>
      <c r="X56" s="23"/>
      <c r="Y56" s="52"/>
      <c r="Z56" s="196"/>
      <c r="AA56" s="23"/>
      <c r="AB56" s="24"/>
      <c r="AC56" s="45"/>
      <c r="AD56" s="24"/>
      <c r="AE56" s="23"/>
      <c r="AF56" s="24"/>
      <c r="AG56" s="24"/>
      <c r="AH56" s="61"/>
    </row>
    <row r="57" spans="1:34" ht="13.5" x14ac:dyDescent="0.25">
      <c r="A57" s="9"/>
      <c r="B57" s="9"/>
      <c r="C57" s="9"/>
      <c r="D57" s="9"/>
      <c r="G57" s="9"/>
      <c r="H57" s="9"/>
      <c r="I57" s="9"/>
      <c r="J57" s="9"/>
      <c r="K57" s="9"/>
      <c r="L57" s="9"/>
      <c r="M57" s="9"/>
      <c r="N57" s="9"/>
      <c r="O57" s="9"/>
      <c r="P57" s="9"/>
      <c r="Q57" s="9"/>
      <c r="Z57" s="197"/>
    </row>
  </sheetData>
  <mergeCells count="17">
    <mergeCell ref="C50:D50"/>
    <mergeCell ref="E50:G50"/>
    <mergeCell ref="T51:U51"/>
    <mergeCell ref="T52:U52"/>
    <mergeCell ref="W19:X19"/>
    <mergeCell ref="C20:F20"/>
    <mergeCell ref="E32:O32"/>
    <mergeCell ref="V32:AE32"/>
    <mergeCell ref="AA39:AE39"/>
    <mergeCell ref="AA43:AE43"/>
    <mergeCell ref="C49:D49"/>
    <mergeCell ref="F19:G19"/>
    <mergeCell ref="AC7:AE7"/>
    <mergeCell ref="AD9:AE9"/>
    <mergeCell ref="C16:G16"/>
    <mergeCell ref="T16:X16"/>
    <mergeCell ref="D17:H17"/>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CDEE5C63-CEF8-4F19-846D-968B1F59B7B7}">
          <x14:formula1>
            <xm:f>'Drop down list '!$H$2:$H$32</xm:f>
          </x14:formula1>
          <xm:sqref>M12 E19</xm:sqref>
        </x14:dataValidation>
        <x14:dataValidation type="list" allowBlank="1" showInputMessage="1" showErrorMessage="1" xr:uid="{5E8B6290-19B5-42A5-A2B7-BF127686EF01}">
          <x14:formula1>
            <xm:f>'Drop down list '!$I$2:$I$4</xm:f>
          </x14:formula1>
          <xm:sqref>F19</xm:sqref>
        </x14:dataValidation>
        <x14:dataValidation type="list" allowBlank="1" showInputMessage="1" showErrorMessage="1" xr:uid="{163A828A-B248-4FE4-9728-04CFF0A01F19}">
          <x14:formula1>
            <xm:f>'Drop down list '!I2:I4</xm:f>
          </x14:formula1>
          <xm:sqref>N12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B1317-AD3E-497A-A488-A9D0336E01B1}">
  <sheetPr codeName="Sheet1066">
    <tabColor rgb="FFFFFF00"/>
    <pageSetUpPr fitToPage="1"/>
  </sheetPr>
  <dimension ref="A1:AH57"/>
  <sheetViews>
    <sheetView zoomScaleNormal="100" workbookViewId="0">
      <selection activeCell="N42" sqref="N42"/>
    </sheetView>
  </sheetViews>
  <sheetFormatPr defaultRowHeight="12.75" x14ac:dyDescent="0.2"/>
  <cols>
    <col min="1" max="1" width="4.570312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5.42578125" style="2" customWidth="1"/>
    <col min="8" max="8" width="3" style="2" bestFit="1" customWidth="1"/>
    <col min="9" max="9" width="6.7109375" style="2" customWidth="1"/>
    <col min="10" max="10" width="7" style="2" customWidth="1"/>
    <col min="11" max="11" width="6.42578125" style="2" bestFit="1" customWidth="1"/>
    <col min="12" max="12" width="7.7109375" style="2" customWidth="1"/>
    <col min="13" max="13" width="3" style="2" customWidth="1"/>
    <col min="14" max="14" width="9.140625" style="2" customWidth="1"/>
    <col min="15" max="15" width="3.28515625" style="2" customWidth="1"/>
    <col min="16" max="16" width="1.85546875" customWidth="1"/>
    <col min="17" max="17" width="2.85546875" customWidth="1"/>
    <col min="18" max="18" width="2.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6.42578125" bestFit="1" customWidth="1"/>
    <col min="29" max="29" width="7.7109375" customWidth="1"/>
    <col min="30" max="30" width="3" customWidth="1"/>
    <col min="31" max="31" width="10.140625" customWidth="1"/>
    <col min="32" max="32" width="1.85546875" customWidth="1"/>
    <col min="33" max="34" width="3.2851562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12</v>
      </c>
      <c r="L7" s="8" t="s">
        <v>17</v>
      </c>
      <c r="R7" s="24"/>
      <c r="S7" s="24"/>
      <c r="T7" s="28" t="str">
        <f>C7</f>
        <v>Singapore Tong Teik (Pte) Ltd</v>
      </c>
      <c r="U7" s="24"/>
      <c r="V7" s="24"/>
      <c r="W7" s="24"/>
      <c r="X7" s="24"/>
      <c r="Y7" s="24"/>
      <c r="Z7" s="24"/>
      <c r="AA7" s="24"/>
      <c r="AB7" s="24"/>
      <c r="AC7" s="217" t="s">
        <v>17</v>
      </c>
      <c r="AD7" s="217"/>
      <c r="AE7" s="217"/>
      <c r="AF7" s="24"/>
      <c r="AG7" s="24"/>
      <c r="AH7" s="26"/>
    </row>
    <row r="8" spans="1:34" x14ac:dyDescent="0.2">
      <c r="C8" s="12" t="s">
        <v>184</v>
      </c>
      <c r="R8" s="24"/>
      <c r="S8" s="24"/>
      <c r="T8" s="29" t="str">
        <f>C8</f>
        <v>7 Temasek Boulevard,</v>
      </c>
      <c r="U8" s="24"/>
      <c r="V8" s="24"/>
      <c r="W8" s="24"/>
      <c r="X8" s="24"/>
      <c r="Y8" s="24"/>
      <c r="Z8" s="24"/>
      <c r="AA8" s="24"/>
      <c r="AB8" s="24"/>
      <c r="AC8" s="24"/>
      <c r="AD8" s="24"/>
      <c r="AE8" s="24"/>
      <c r="AF8" s="24"/>
      <c r="AG8" s="24"/>
      <c r="AH8" s="26"/>
    </row>
    <row r="9" spans="1:34" x14ac:dyDescent="0.2">
      <c r="C9" s="12" t="s">
        <v>185</v>
      </c>
      <c r="L9" s="12" t="s">
        <v>18</v>
      </c>
      <c r="M9" s="136" t="s">
        <v>295</v>
      </c>
      <c r="R9" s="24"/>
      <c r="S9" s="24"/>
      <c r="T9" s="29" t="str">
        <f>C9</f>
        <v>#20-02 Suntec Tower One,</v>
      </c>
      <c r="U9" s="24"/>
      <c r="V9" s="24"/>
      <c r="W9" s="24"/>
      <c r="X9" s="24"/>
      <c r="Y9" s="24"/>
      <c r="Z9" s="24"/>
      <c r="AA9" s="24"/>
      <c r="AB9" s="24"/>
      <c r="AC9" s="29" t="s">
        <v>18</v>
      </c>
      <c r="AD9" s="214" t="str">
        <f>M9</f>
        <v>DN202609-10</v>
      </c>
      <c r="AE9" s="214"/>
      <c r="AF9" s="24"/>
      <c r="AG9" s="24"/>
      <c r="AH9" s="26"/>
    </row>
    <row r="10" spans="1:34" x14ac:dyDescent="0.2">
      <c r="C10" s="12" t="s">
        <v>186</v>
      </c>
      <c r="R10" s="24"/>
      <c r="S10" s="24"/>
      <c r="T10" s="29" t="str">
        <f>C10</f>
        <v>Singapore 038987</v>
      </c>
      <c r="U10" s="24"/>
      <c r="V10" s="24"/>
      <c r="W10" s="24"/>
      <c r="X10" s="24"/>
      <c r="Y10" s="24"/>
      <c r="Z10" s="24"/>
      <c r="AA10" s="24"/>
      <c r="AB10" s="24"/>
      <c r="AC10" s="24"/>
      <c r="AD10" s="24"/>
      <c r="AE10" s="24"/>
      <c r="AF10" s="24"/>
      <c r="AG10" s="24"/>
      <c r="AH10" s="26"/>
    </row>
    <row r="11" spans="1:34" x14ac:dyDescent="0.2">
      <c r="C11" s="12"/>
      <c r="R11" s="24"/>
      <c r="S11" s="24"/>
      <c r="T11" s="29"/>
      <c r="U11" s="24"/>
      <c r="V11" s="24"/>
      <c r="W11" s="24"/>
      <c r="X11" s="24"/>
      <c r="Y11" s="24"/>
      <c r="Z11" s="24"/>
      <c r="AA11" s="24"/>
      <c r="AB11" s="24"/>
      <c r="AC11" s="24"/>
      <c r="AD11" s="24"/>
      <c r="AE11" s="24"/>
      <c r="AF11" s="24"/>
      <c r="AG11" s="24"/>
      <c r="AH11" s="26"/>
    </row>
    <row r="12" spans="1:34" x14ac:dyDescent="0.2">
      <c r="C12" s="12"/>
      <c r="L12" s="144" t="s">
        <v>19</v>
      </c>
      <c r="M12" s="144">
        <v>2</v>
      </c>
      <c r="N12" s="145">
        <v>46290</v>
      </c>
      <c r="R12" s="24"/>
      <c r="S12" s="24"/>
      <c r="T12" s="29"/>
      <c r="U12" s="24"/>
      <c r="V12" s="24"/>
      <c r="W12" s="24"/>
      <c r="X12" s="24"/>
      <c r="Y12" s="24"/>
      <c r="Z12" s="24"/>
      <c r="AA12" s="24"/>
      <c r="AB12" s="24"/>
      <c r="AC12" s="147" t="s">
        <v>19</v>
      </c>
      <c r="AD12" s="30">
        <f>M12</f>
        <v>2</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213" t="s">
        <v>12</v>
      </c>
      <c r="D16" s="216"/>
      <c r="E16" s="216"/>
      <c r="F16" s="216"/>
      <c r="G16" s="216"/>
      <c r="I16" s="136" t="s">
        <v>296</v>
      </c>
      <c r="L16" s="12"/>
      <c r="M16" s="12"/>
      <c r="N16" s="12"/>
      <c r="O16" s="12"/>
      <c r="P16" s="128"/>
      <c r="R16" s="35"/>
      <c r="S16" s="24"/>
      <c r="T16" s="214" t="str">
        <f>C16</f>
        <v>Singapore Tong Teik (Pte) Ltd</v>
      </c>
      <c r="U16" s="214"/>
      <c r="V16" s="214"/>
      <c r="W16" s="214"/>
      <c r="X16" s="214"/>
      <c r="Z16" s="12" t="str">
        <f>I16</f>
        <v>S/I No. S26-8017(B)</v>
      </c>
      <c r="AB16" s="24"/>
      <c r="AC16" s="29"/>
      <c r="AD16" s="29"/>
      <c r="AE16" s="29"/>
      <c r="AF16" s="29"/>
      <c r="AG16" s="36"/>
      <c r="AH16" s="26"/>
    </row>
    <row r="17" spans="1:34" ht="12.75" customHeight="1" x14ac:dyDescent="0.2">
      <c r="A17" s="10"/>
      <c r="C17" s="12">
        <v>80</v>
      </c>
      <c r="D17" s="216" t="s">
        <v>284</v>
      </c>
      <c r="E17" s="216"/>
      <c r="F17" s="216"/>
      <c r="G17" s="216"/>
      <c r="H17" s="216"/>
      <c r="I17" s="125">
        <f>C17/16*20.16</f>
        <v>100.8</v>
      </c>
      <c r="J17" s="12" t="s">
        <v>36</v>
      </c>
      <c r="K17" s="144" t="s">
        <v>297</v>
      </c>
      <c r="L17" s="148" t="s">
        <v>6</v>
      </c>
      <c r="M17" s="56"/>
      <c r="N17" s="12"/>
      <c r="O17" s="12"/>
      <c r="P17" s="128"/>
      <c r="R17" s="35"/>
      <c r="S17" s="24"/>
      <c r="T17" s="29">
        <f>C17</f>
        <v>80</v>
      </c>
      <c r="U17" s="29" t="str">
        <f>D17</f>
        <v>Metal Boxes (MB5)</v>
      </c>
      <c r="V17" s="29"/>
      <c r="W17" s="29"/>
      <c r="Z17" s="126">
        <f>I17</f>
        <v>100.8</v>
      </c>
      <c r="AA17" s="12" t="s">
        <v>37</v>
      </c>
      <c r="AB17" s="12" t="str">
        <f>K17</f>
        <v>5 x 20'</v>
      </c>
      <c r="AC17" s="12" t="str">
        <f>L17</f>
        <v>SMR 20 Rubber</v>
      </c>
      <c r="AD17" s="29"/>
      <c r="AE17" s="29"/>
      <c r="AF17" s="29"/>
      <c r="AG17" s="36"/>
      <c r="AH17" s="26"/>
    </row>
    <row r="18" spans="1:34" ht="12.75" customHeight="1" x14ac:dyDescent="0.2">
      <c r="A18" s="10"/>
      <c r="C18" s="136" t="s">
        <v>279</v>
      </c>
      <c r="D18" s="12"/>
      <c r="E18" s="12"/>
      <c r="F18" s="12"/>
      <c r="G18" s="12"/>
      <c r="H18" s="12"/>
      <c r="I18" s="12"/>
      <c r="J18" s="12"/>
      <c r="K18" s="12"/>
      <c r="L18" s="12"/>
      <c r="M18" s="12"/>
      <c r="N18" s="12"/>
      <c r="O18" s="12"/>
      <c r="P18" s="128"/>
      <c r="R18" s="35"/>
      <c r="S18" s="24"/>
      <c r="T18" s="29" t="str">
        <f>C18</f>
        <v>Shipped per Xiamen Voy 636S</v>
      </c>
      <c r="U18" s="29"/>
      <c r="V18" s="29"/>
      <c r="W18" s="29"/>
      <c r="X18" s="29"/>
      <c r="Y18" s="29"/>
      <c r="Z18" s="29"/>
      <c r="AA18" s="29"/>
      <c r="AB18" s="29"/>
      <c r="AC18" s="29"/>
      <c r="AD18" s="29"/>
      <c r="AE18" s="29"/>
      <c r="AF18" s="29"/>
      <c r="AG18" s="36"/>
      <c r="AH18" s="26"/>
    </row>
    <row r="19" spans="1:34" ht="12.75" customHeight="1" x14ac:dyDescent="0.2">
      <c r="A19" s="10"/>
      <c r="C19" s="12" t="s">
        <v>38</v>
      </c>
      <c r="D19" s="12"/>
      <c r="E19" s="12">
        <v>4</v>
      </c>
      <c r="F19" s="211">
        <v>46290</v>
      </c>
      <c r="G19" s="211"/>
      <c r="H19" s="12"/>
      <c r="I19" s="12"/>
      <c r="J19" s="12"/>
      <c r="K19" s="12"/>
      <c r="L19" s="12"/>
      <c r="M19" s="12"/>
      <c r="N19" s="12"/>
      <c r="O19" s="12"/>
      <c r="P19" s="128"/>
      <c r="R19" s="35"/>
      <c r="S19" s="24"/>
      <c r="T19" s="29" t="str">
        <f>C19</f>
        <v>B/L dated</v>
      </c>
      <c r="U19" s="29"/>
      <c r="V19" s="29">
        <f>E19</f>
        <v>4</v>
      </c>
      <c r="W19" s="212">
        <f>F19</f>
        <v>46290</v>
      </c>
      <c r="X19" s="212"/>
      <c r="Y19" s="29"/>
      <c r="Z19" s="29"/>
      <c r="AA19" s="29"/>
      <c r="AB19" s="29"/>
      <c r="AC19" s="29"/>
      <c r="AD19" s="29"/>
      <c r="AE19" s="29"/>
      <c r="AF19" s="29"/>
      <c r="AG19" s="36"/>
      <c r="AH19" s="26"/>
    </row>
    <row r="20" spans="1:34" ht="12.75" customHeight="1" x14ac:dyDescent="0.2">
      <c r="A20" s="10"/>
      <c r="C20" s="216" t="s">
        <v>277</v>
      </c>
      <c r="D20" s="216"/>
      <c r="E20" s="216"/>
      <c r="F20" s="216"/>
      <c r="G20" s="12"/>
      <c r="H20" s="12"/>
      <c r="I20" s="12"/>
      <c r="J20" s="12"/>
      <c r="K20" s="12"/>
      <c r="L20" s="12"/>
      <c r="M20" s="12"/>
      <c r="N20" s="12"/>
      <c r="O20" s="12"/>
      <c r="P20" s="128"/>
      <c r="R20" s="35"/>
      <c r="S20" s="24"/>
      <c r="T20" s="29" t="str">
        <f>C20</f>
        <v>To Fremantle, Australia</v>
      </c>
      <c r="U20" s="29"/>
      <c r="V20" s="29"/>
      <c r="W20" s="29"/>
      <c r="X20" s="29"/>
      <c r="Y20" s="29"/>
      <c r="Z20" s="29"/>
      <c r="AA20" s="29"/>
      <c r="AB20" s="29"/>
      <c r="AC20" s="29"/>
      <c r="AD20" s="29"/>
      <c r="AE20" s="29"/>
      <c r="AF20" s="29"/>
      <c r="AG20" s="36"/>
      <c r="AH20" s="26"/>
    </row>
    <row r="21" spans="1:34" ht="10.15" customHeight="1" x14ac:dyDescent="0.2">
      <c r="A21" s="10"/>
      <c r="C21" s="13"/>
      <c r="D21" s="4"/>
      <c r="E21" s="13"/>
      <c r="F21" s="13"/>
      <c r="G21" s="13"/>
      <c r="H21" s="13"/>
      <c r="I21" s="13"/>
      <c r="J21" s="13"/>
      <c r="K21" s="13"/>
      <c r="L21" s="13"/>
      <c r="M21" s="13"/>
      <c r="N21" s="13"/>
      <c r="O21" s="12"/>
      <c r="P21" s="128"/>
      <c r="R21" s="35"/>
      <c r="S21" s="24"/>
      <c r="T21" s="37"/>
      <c r="U21" s="38"/>
      <c r="V21" s="37"/>
      <c r="W21" s="37"/>
      <c r="X21" s="37"/>
      <c r="Y21" s="37"/>
      <c r="Z21" s="37"/>
      <c r="AA21" s="37"/>
      <c r="AB21" s="37"/>
      <c r="AC21" s="37"/>
      <c r="AD21" s="37"/>
      <c r="AE21" s="37"/>
      <c r="AF21" s="29"/>
      <c r="AG21" s="36"/>
      <c r="AH21" s="26"/>
    </row>
    <row r="22" spans="1:34" x14ac:dyDescent="0.2">
      <c r="A22" s="10"/>
      <c r="C22" s="12"/>
      <c r="E22" s="12"/>
      <c r="F22" s="12"/>
      <c r="G22" s="12"/>
      <c r="H22" s="12"/>
      <c r="I22" s="12"/>
      <c r="J22" s="12"/>
      <c r="K22" s="12"/>
      <c r="L22" s="12"/>
      <c r="M22" s="12"/>
      <c r="N22" s="12"/>
      <c r="O22" s="12"/>
      <c r="P22" s="128"/>
      <c r="R22" s="35"/>
      <c r="S22" s="24"/>
      <c r="T22" s="29"/>
      <c r="U22" s="24"/>
      <c r="V22" s="29"/>
      <c r="W22" s="29"/>
      <c r="X22" s="29"/>
      <c r="Y22" s="29"/>
      <c r="Z22" s="29"/>
      <c r="AA22" s="29"/>
      <c r="AB22" s="29"/>
      <c r="AC22" s="29"/>
      <c r="AD22" s="29"/>
      <c r="AE22" s="29"/>
      <c r="AF22" s="29"/>
      <c r="AG22" s="36"/>
      <c r="AH22" s="26"/>
    </row>
    <row r="23" spans="1:34" x14ac:dyDescent="0.2">
      <c r="A23" s="10"/>
      <c r="C23" s="12" t="s">
        <v>187</v>
      </c>
      <c r="E23" s="12"/>
      <c r="F23" s="12"/>
      <c r="G23" s="12"/>
      <c r="H23" s="12"/>
      <c r="I23" s="12"/>
      <c r="J23" s="60"/>
      <c r="L23" s="12"/>
      <c r="M23" s="12" t="s">
        <v>20</v>
      </c>
      <c r="N23" s="14">
        <v>1400</v>
      </c>
      <c r="O23" s="14"/>
      <c r="P23" s="128"/>
      <c r="R23" s="35"/>
      <c r="S23" s="24"/>
      <c r="T23" s="29" t="str">
        <f>C23</f>
        <v xml:space="preserve">Origin T.H.C paid on your behalf for </v>
      </c>
      <c r="U23" s="24"/>
      <c r="V23" s="29"/>
      <c r="W23" s="29"/>
      <c r="X23" s="29"/>
      <c r="Y23" s="29"/>
      <c r="Z23" s="190"/>
      <c r="AA23" s="59"/>
      <c r="AB23" s="2"/>
      <c r="AC23" s="29"/>
      <c r="AD23" s="29" t="s">
        <v>20</v>
      </c>
      <c r="AE23" s="39">
        <f>N23</f>
        <v>1400</v>
      </c>
      <c r="AF23" s="39"/>
      <c r="AG23" s="40"/>
      <c r="AH23" s="26"/>
    </row>
    <row r="24" spans="1:34" x14ac:dyDescent="0.2">
      <c r="A24" s="10"/>
      <c r="C24" s="12" t="s">
        <v>298</v>
      </c>
      <c r="E24" s="12"/>
      <c r="F24" s="12"/>
      <c r="G24" s="12"/>
      <c r="H24" s="12"/>
      <c r="L24" s="12"/>
      <c r="M24" s="12"/>
      <c r="N24" s="14"/>
      <c r="O24" s="14"/>
      <c r="P24" s="128"/>
      <c r="R24" s="35"/>
      <c r="S24" s="24"/>
      <c r="T24" s="29" t="str">
        <f>C24</f>
        <v xml:space="preserve">5 x 20' SMR20 as per photocopy of </v>
      </c>
      <c r="U24" s="24"/>
      <c r="V24" s="29"/>
      <c r="W24" s="29"/>
      <c r="X24" s="29"/>
      <c r="Y24" s="29"/>
      <c r="Z24" s="29"/>
      <c r="AA24" s="29"/>
      <c r="AB24" s="24"/>
      <c r="AC24" s="29"/>
      <c r="AD24" s="29"/>
      <c r="AE24" s="39"/>
      <c r="AF24" s="39"/>
      <c r="AG24" s="40"/>
      <c r="AH24" s="26"/>
    </row>
    <row r="25" spans="1:34" x14ac:dyDescent="0.2">
      <c r="A25" s="10"/>
      <c r="C25" s="12" t="s">
        <v>188</v>
      </c>
      <c r="E25" s="12"/>
      <c r="F25" s="12"/>
      <c r="G25" s="12"/>
      <c r="H25" s="12"/>
      <c r="I25" s="12"/>
      <c r="L25" s="12"/>
      <c r="M25" s="12"/>
      <c r="N25" s="14"/>
      <c r="O25" s="14"/>
      <c r="P25" s="128"/>
      <c r="R25" s="35"/>
      <c r="S25" s="24"/>
      <c r="T25" s="29" t="str">
        <f>C25</f>
        <v>MEGA-AIR PTE LTD</v>
      </c>
      <c r="U25" s="24"/>
      <c r="V25" s="29"/>
      <c r="W25" s="29"/>
      <c r="X25" s="29"/>
      <c r="Y25" s="29"/>
      <c r="Z25" s="29"/>
      <c r="AA25" s="24"/>
      <c r="AB25" s="24"/>
      <c r="AC25" s="29"/>
      <c r="AD25" s="29"/>
      <c r="AE25" s="39"/>
      <c r="AF25" s="39"/>
      <c r="AG25" s="40"/>
      <c r="AH25" s="26"/>
    </row>
    <row r="26" spans="1:34" x14ac:dyDescent="0.2">
      <c r="A26" s="10"/>
      <c r="C26" s="2" t="s">
        <v>299</v>
      </c>
      <c r="D26" s="12"/>
      <c r="E26" s="12"/>
      <c r="F26" s="12"/>
      <c r="G26" s="12"/>
      <c r="H26" s="12"/>
      <c r="I26" s="12"/>
      <c r="J26" s="12"/>
      <c r="K26" s="12"/>
      <c r="L26" s="12"/>
      <c r="M26" s="13"/>
      <c r="N26" s="15"/>
      <c r="O26" s="14"/>
      <c r="P26" s="128"/>
      <c r="R26" s="35"/>
      <c r="S26" s="24"/>
      <c r="T26" s="24" t="str">
        <f>C26</f>
        <v>Invoice No. IVSE26090001</v>
      </c>
      <c r="U26" s="29"/>
      <c r="V26" s="29"/>
      <c r="W26" s="29"/>
      <c r="X26" s="29"/>
      <c r="Y26" s="29"/>
      <c r="Z26" s="29"/>
      <c r="AA26" s="29"/>
      <c r="AB26" s="29"/>
      <c r="AC26" s="29"/>
      <c r="AD26" s="37"/>
      <c r="AE26" s="41"/>
      <c r="AF26" s="39"/>
      <c r="AG26" s="40"/>
      <c r="AH26" s="26"/>
    </row>
    <row r="27" spans="1:34" ht="10.15" customHeight="1" x14ac:dyDescent="0.2">
      <c r="A27" s="10"/>
      <c r="C27" s="2" t="s">
        <v>189</v>
      </c>
      <c r="D27" s="12"/>
      <c r="E27" s="12"/>
      <c r="F27" s="12"/>
      <c r="G27" s="12"/>
      <c r="H27" s="12"/>
      <c r="I27" s="12"/>
      <c r="J27" s="12"/>
      <c r="K27" s="12"/>
      <c r="L27" s="12"/>
      <c r="M27" s="12"/>
      <c r="N27" s="14"/>
      <c r="O27" s="14"/>
      <c r="P27" s="128"/>
      <c r="R27" s="35"/>
      <c r="S27" s="24"/>
      <c r="T27" s="24" t="str">
        <f>C27</f>
        <v>Attached</v>
      </c>
      <c r="U27" s="29"/>
      <c r="V27" s="29"/>
      <c r="W27" s="29"/>
      <c r="X27" s="29"/>
      <c r="Y27" s="29"/>
      <c r="Z27" s="29"/>
      <c r="AA27" s="29"/>
      <c r="AB27" s="29"/>
      <c r="AC27" s="29"/>
      <c r="AD27" s="29"/>
      <c r="AE27" s="39"/>
      <c r="AF27" s="39"/>
      <c r="AG27" s="40"/>
      <c r="AH27" s="26"/>
    </row>
    <row r="28" spans="1:34" x14ac:dyDescent="0.2">
      <c r="A28" s="10"/>
      <c r="D28" s="12"/>
      <c r="E28" s="12"/>
      <c r="F28" s="12"/>
      <c r="G28" s="12"/>
      <c r="H28" s="12"/>
      <c r="I28" s="12"/>
      <c r="J28" s="12"/>
      <c r="K28" s="12"/>
      <c r="L28" s="12"/>
      <c r="M28" s="12" t="s">
        <v>20</v>
      </c>
      <c r="N28" s="14">
        <f>SUM(N23:N25)</f>
        <v>1400</v>
      </c>
      <c r="O28" s="14"/>
      <c r="P28" s="128"/>
      <c r="R28" s="35"/>
      <c r="S28" s="24"/>
      <c r="T28" s="24"/>
      <c r="U28" s="29"/>
      <c r="V28" s="29"/>
      <c r="W28" s="29"/>
      <c r="X28" s="29"/>
      <c r="Y28" s="29"/>
      <c r="Z28" s="29"/>
      <c r="AA28" s="29"/>
      <c r="AB28" s="29"/>
      <c r="AC28" s="29"/>
      <c r="AD28" s="29" t="s">
        <v>20</v>
      </c>
      <c r="AE28" s="39">
        <f>SUM(AE23:AE25)</f>
        <v>1400</v>
      </c>
      <c r="AF28" s="39"/>
      <c r="AG28" s="40"/>
      <c r="AH28" s="26"/>
    </row>
    <row r="29" spans="1:34" ht="10.15" customHeight="1" thickBot="1" x14ac:dyDescent="0.25">
      <c r="A29" s="10"/>
      <c r="D29" s="12"/>
      <c r="E29" s="12"/>
      <c r="F29" s="12"/>
      <c r="G29" s="12"/>
      <c r="H29" s="12"/>
      <c r="I29" s="12"/>
      <c r="J29" s="12"/>
      <c r="K29" s="12"/>
      <c r="L29" s="12"/>
      <c r="M29" s="16"/>
      <c r="N29" s="16"/>
      <c r="O29" s="12"/>
      <c r="P29" s="128"/>
      <c r="R29" s="35"/>
      <c r="S29" s="24"/>
      <c r="T29" s="24"/>
      <c r="U29" s="29"/>
      <c r="V29" s="29"/>
      <c r="W29" s="29"/>
      <c r="X29" s="29"/>
      <c r="Y29" s="29"/>
      <c r="Z29" s="29"/>
      <c r="AA29" s="29"/>
      <c r="AB29" s="29"/>
      <c r="AC29" s="29"/>
      <c r="AD29" s="42"/>
      <c r="AE29" s="42"/>
      <c r="AF29" s="29"/>
      <c r="AG29" s="36"/>
      <c r="AH29" s="26"/>
    </row>
    <row r="30" spans="1:34" ht="10.15" customHeight="1" thickTop="1" x14ac:dyDescent="0.2">
      <c r="A30" s="10"/>
      <c r="D30" s="12"/>
      <c r="E30" s="12"/>
      <c r="F30" s="12"/>
      <c r="G30" s="12"/>
      <c r="H30" s="12"/>
      <c r="I30" s="12"/>
      <c r="J30" s="12"/>
      <c r="K30" s="12"/>
      <c r="L30" s="12"/>
      <c r="M30" s="12"/>
      <c r="N30" s="12"/>
      <c r="O30" s="12"/>
      <c r="P30" s="128"/>
      <c r="R30" s="35"/>
      <c r="S30" s="24"/>
      <c r="T30" s="24"/>
      <c r="U30" s="29"/>
      <c r="V30" s="29"/>
      <c r="W30" s="29"/>
      <c r="X30" s="29"/>
      <c r="Y30" s="29"/>
      <c r="Z30" s="29"/>
      <c r="AA30" s="29"/>
      <c r="AB30" s="29"/>
      <c r="AC30" s="29"/>
      <c r="AD30" s="29"/>
      <c r="AE30" s="29"/>
      <c r="AF30" s="29"/>
      <c r="AG30" s="36"/>
      <c r="AH30" s="26"/>
    </row>
    <row r="31" spans="1:34" ht="12.75" customHeight="1" x14ac:dyDescent="0.2">
      <c r="A31" s="10"/>
      <c r="D31" s="12"/>
      <c r="E31" s="12"/>
      <c r="F31" s="12"/>
      <c r="G31" s="12"/>
      <c r="H31" s="12"/>
      <c r="I31" s="12"/>
      <c r="J31" s="12"/>
      <c r="K31" s="12"/>
      <c r="L31" s="12"/>
      <c r="M31" s="12"/>
      <c r="N31" s="12"/>
      <c r="O31" s="12"/>
      <c r="P31" s="128"/>
      <c r="R31" s="35"/>
      <c r="S31" s="24"/>
      <c r="T31" s="24"/>
      <c r="U31" s="29"/>
      <c r="V31" s="29"/>
      <c r="W31" s="29"/>
      <c r="X31" s="29"/>
      <c r="Y31" s="29"/>
      <c r="Z31" s="29"/>
      <c r="AA31" s="29"/>
      <c r="AB31" s="29"/>
      <c r="AC31" s="29"/>
      <c r="AD31" s="29"/>
      <c r="AE31" s="29"/>
      <c r="AF31" s="29"/>
      <c r="AG31" s="36"/>
      <c r="AH31" s="26"/>
    </row>
    <row r="32" spans="1:34" x14ac:dyDescent="0.2">
      <c r="A32" s="10"/>
      <c r="C32" s="12" t="s">
        <v>190</v>
      </c>
      <c r="E32" s="213" t="s">
        <v>300</v>
      </c>
      <c r="F32" s="213"/>
      <c r="G32" s="213"/>
      <c r="H32" s="213"/>
      <c r="I32" s="213"/>
      <c r="J32" s="213"/>
      <c r="K32" s="213"/>
      <c r="L32" s="213"/>
      <c r="M32" s="213"/>
      <c r="N32" s="213"/>
      <c r="O32" s="213"/>
      <c r="P32" s="128"/>
      <c r="R32" s="35"/>
      <c r="S32" s="24"/>
      <c r="T32" s="29" t="str">
        <f>C32</f>
        <v xml:space="preserve">Singapore Dollars </v>
      </c>
      <c r="U32" s="24"/>
      <c r="V32" s="214" t="str">
        <f>E32</f>
        <v>One Thousand Four Hundred Only</v>
      </c>
      <c r="W32" s="214"/>
      <c r="X32" s="214"/>
      <c r="Y32" s="214"/>
      <c r="Z32" s="214"/>
      <c r="AA32" s="214"/>
      <c r="AB32" s="214"/>
      <c r="AC32" s="214"/>
      <c r="AD32" s="214"/>
      <c r="AE32" s="214"/>
      <c r="AF32" s="29"/>
      <c r="AG32" s="36"/>
      <c r="AH32" s="26"/>
    </row>
    <row r="33" spans="1:34" ht="12.75" customHeight="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P34" s="128"/>
      <c r="R34" s="35"/>
      <c r="S34" s="24"/>
      <c r="T34" s="24"/>
      <c r="U34" s="24"/>
      <c r="V34" s="24"/>
      <c r="W34" s="24"/>
      <c r="X34" s="24"/>
      <c r="Y34" s="24"/>
      <c r="Z34" s="24"/>
      <c r="AA34" s="24"/>
      <c r="AB34" s="24"/>
      <c r="AC34" s="24"/>
      <c r="AD34" s="24"/>
      <c r="AE34" s="24"/>
      <c r="AF34" s="24"/>
      <c r="AG34" s="35"/>
      <c r="AH34" s="26"/>
    </row>
    <row r="35" spans="1:34" ht="12.75" customHeight="1" x14ac:dyDescent="0.2">
      <c r="R35" s="24"/>
      <c r="S35" s="24"/>
      <c r="T35" s="24"/>
      <c r="U35" s="24"/>
      <c r="V35" s="24"/>
      <c r="W35" s="24"/>
      <c r="X35" s="24"/>
      <c r="Y35" s="24"/>
      <c r="Z35" s="24"/>
      <c r="AA35" s="24"/>
      <c r="AB35" s="24"/>
      <c r="AC35" s="24"/>
      <c r="AD35" s="24"/>
      <c r="AE35" s="24"/>
      <c r="AF35" s="24"/>
      <c r="AG35" s="24"/>
      <c r="AH35" s="26"/>
    </row>
    <row r="36" spans="1:34" ht="12.75" customHeight="1" x14ac:dyDescent="0.2">
      <c r="R36" s="24"/>
      <c r="S36" s="24"/>
      <c r="T36" s="24"/>
      <c r="U36" s="24"/>
      <c r="V36" s="24"/>
      <c r="W36" s="24"/>
      <c r="X36" s="24"/>
      <c r="Y36" s="24"/>
      <c r="Z36" s="24"/>
      <c r="AA36" s="24"/>
      <c r="AB36" s="24"/>
      <c r="AC36" s="24"/>
      <c r="AD36" s="24"/>
      <c r="AE36" s="24"/>
      <c r="AF36" s="24"/>
      <c r="AG36" s="24"/>
      <c r="AH36" s="26"/>
    </row>
    <row r="37" spans="1:34" ht="12.75" customHeight="1" x14ac:dyDescent="0.2">
      <c r="D37" s="18"/>
      <c r="R37" s="24"/>
      <c r="S37" s="24"/>
      <c r="T37" s="24"/>
      <c r="U37" s="43"/>
      <c r="V37" s="24"/>
      <c r="W37" s="24"/>
      <c r="X37" s="24"/>
      <c r="Y37" s="24"/>
      <c r="Z37" s="24"/>
      <c r="AA37" s="24"/>
      <c r="AB37" s="24"/>
      <c r="AC37" s="24"/>
      <c r="AD37" s="24"/>
      <c r="AE37" s="24"/>
      <c r="AF37" s="24"/>
      <c r="AG37" s="24"/>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x14ac:dyDescent="0.2">
      <c r="N39" s="150" t="s">
        <v>23</v>
      </c>
      <c r="O39" s="150"/>
      <c r="R39" s="24"/>
      <c r="S39" s="24"/>
      <c r="T39" s="24"/>
      <c r="U39" s="24"/>
      <c r="V39" s="24"/>
      <c r="W39" s="24"/>
      <c r="X39" s="24"/>
      <c r="Y39" s="24"/>
      <c r="Z39" s="24"/>
      <c r="AA39" s="209" t="s">
        <v>24</v>
      </c>
      <c r="AB39" s="209"/>
      <c r="AC39" s="209"/>
      <c r="AD39" s="209"/>
      <c r="AE39" s="209"/>
      <c r="AF39" s="149"/>
      <c r="AG39" s="149"/>
      <c r="AH39" s="26"/>
    </row>
    <row r="40" spans="1:34" x14ac:dyDescent="0.2">
      <c r="R40" s="24"/>
      <c r="S40" s="24"/>
      <c r="T40" s="24"/>
      <c r="U40" s="24"/>
      <c r="V40" s="24"/>
      <c r="W40" s="24"/>
      <c r="X40" s="24"/>
      <c r="Y40" s="24"/>
      <c r="Z40" s="24"/>
      <c r="AA40" s="24"/>
      <c r="AB40" s="24"/>
      <c r="AC40" s="24"/>
      <c r="AD40" s="24"/>
      <c r="AE40" s="24"/>
      <c r="AF40" s="24"/>
      <c r="AG40" s="24"/>
      <c r="AH40" s="26"/>
    </row>
    <row r="41" spans="1:34" x14ac:dyDescent="0.2">
      <c r="R41" s="24"/>
      <c r="S41" s="24"/>
      <c r="T41" s="24"/>
      <c r="U41" s="24"/>
      <c r="V41" s="24"/>
      <c r="W41" s="24"/>
      <c r="X41" s="24"/>
      <c r="Y41" s="24"/>
      <c r="Z41" s="24"/>
      <c r="AA41" s="24"/>
      <c r="AB41" s="24"/>
      <c r="AC41" s="24"/>
      <c r="AD41" s="24"/>
      <c r="AE41" s="24"/>
      <c r="AF41" s="24"/>
      <c r="AG41" s="24"/>
      <c r="AH41" s="26"/>
    </row>
    <row r="42" spans="1:34" x14ac:dyDescent="0.2">
      <c r="R42" s="24"/>
      <c r="S42" s="24"/>
      <c r="T42" s="24"/>
      <c r="U42" s="24"/>
      <c r="V42" s="24"/>
      <c r="W42" s="24"/>
      <c r="X42" s="24"/>
      <c r="Y42" s="24"/>
      <c r="Z42" s="24"/>
      <c r="AA42" s="24"/>
      <c r="AB42" s="24"/>
      <c r="AC42" s="24"/>
      <c r="AD42" s="24"/>
      <c r="AE42" s="24"/>
      <c r="AF42" s="24"/>
      <c r="AG42" s="24"/>
      <c r="AH42" s="26"/>
    </row>
    <row r="43" spans="1:34" x14ac:dyDescent="0.2">
      <c r="N43" s="150" t="s">
        <v>25</v>
      </c>
      <c r="O43" s="150"/>
      <c r="R43" s="24"/>
      <c r="S43" s="24"/>
      <c r="T43" s="26"/>
      <c r="U43" s="24"/>
      <c r="V43" s="24"/>
      <c r="W43" s="24"/>
      <c r="X43" s="24"/>
      <c r="Y43" s="24"/>
      <c r="Z43" s="24"/>
      <c r="AA43" s="210" t="s">
        <v>25</v>
      </c>
      <c r="AB43" s="210"/>
      <c r="AC43" s="210"/>
      <c r="AD43" s="210"/>
      <c r="AE43" s="210"/>
      <c r="AF43" s="149"/>
      <c r="AG43" s="149"/>
      <c r="AH43" s="26"/>
    </row>
    <row r="44" spans="1:34" ht="12.75" customHeight="1" x14ac:dyDescent="0.2">
      <c r="C44" s="19" t="s">
        <v>26</v>
      </c>
      <c r="R44" s="24"/>
      <c r="S44" s="24"/>
      <c r="T44" s="44" t="s">
        <v>26</v>
      </c>
      <c r="U44" s="24"/>
      <c r="V44" s="24"/>
      <c r="W44" s="24"/>
      <c r="X44" s="24"/>
      <c r="Y44" s="24"/>
      <c r="Z44" s="24"/>
      <c r="AA44" s="24"/>
      <c r="AB44" s="24"/>
      <c r="AC44" s="24"/>
      <c r="AD44" s="24"/>
      <c r="AE44" s="24"/>
      <c r="AF44" s="24"/>
      <c r="AG44" s="24"/>
      <c r="AH44" s="26"/>
    </row>
    <row r="45" spans="1:34" ht="12.75" customHeight="1" x14ac:dyDescent="0.2">
      <c r="R45" s="24"/>
      <c r="S45" s="38"/>
      <c r="T45" s="38"/>
      <c r="U45" s="38"/>
      <c r="V45" s="38"/>
      <c r="W45" s="38"/>
      <c r="X45" s="38"/>
      <c r="Y45" s="38"/>
      <c r="Z45" s="38"/>
      <c r="AA45" s="38"/>
      <c r="AB45" s="38"/>
      <c r="AC45" s="38"/>
      <c r="AD45" s="38"/>
      <c r="AE45" s="38"/>
      <c r="AF45" s="38"/>
      <c r="AG45" s="24"/>
      <c r="AH45" s="26"/>
    </row>
    <row r="46" spans="1:34" ht="3" customHeight="1" x14ac:dyDescent="0.2">
      <c r="R46" s="24"/>
      <c r="S46" s="24"/>
      <c r="T46" s="24"/>
      <c r="U46" s="24"/>
      <c r="V46" s="24"/>
      <c r="W46" s="24"/>
      <c r="X46" s="24"/>
      <c r="Y46" s="24"/>
      <c r="Z46" s="24"/>
      <c r="AA46" s="24"/>
      <c r="AB46" s="24"/>
      <c r="AC46" s="24"/>
      <c r="AD46" s="24"/>
      <c r="AE46" s="24"/>
      <c r="AF46" s="24"/>
      <c r="AG46" s="24"/>
      <c r="AH46" s="26"/>
    </row>
    <row r="47" spans="1:34" ht="11.65" customHeight="1" x14ac:dyDescent="0.25">
      <c r="C47" s="12"/>
      <c r="D47" s="190" t="s">
        <v>191</v>
      </c>
      <c r="E47" s="12" t="s">
        <v>192</v>
      </c>
      <c r="F47" s="12"/>
      <c r="G47" s="12"/>
      <c r="H47" s="12"/>
      <c r="I47" s="12"/>
      <c r="J47" s="12"/>
      <c r="K47" s="9"/>
      <c r="L47" s="9"/>
      <c r="S47" s="45"/>
      <c r="T47" s="45" t="s">
        <v>27</v>
      </c>
      <c r="U47" s="24"/>
      <c r="V47" s="24"/>
      <c r="W47" s="24"/>
      <c r="X47" s="24"/>
      <c r="Y47" s="24"/>
      <c r="Z47" s="24"/>
      <c r="AA47" s="24"/>
      <c r="AB47" s="24"/>
      <c r="AC47" s="24"/>
      <c r="AD47" s="24"/>
      <c r="AE47" s="24"/>
      <c r="AF47" s="24"/>
      <c r="AG47" s="24"/>
      <c r="AH47" s="26"/>
    </row>
    <row r="48" spans="1:34" ht="11.65" customHeight="1" x14ac:dyDescent="0.25">
      <c r="C48" s="12"/>
      <c r="D48" s="12"/>
      <c r="E48" s="12" t="s">
        <v>193</v>
      </c>
      <c r="F48" s="12"/>
      <c r="G48" s="12"/>
      <c r="H48" s="12"/>
      <c r="I48" s="12"/>
      <c r="J48" s="12"/>
      <c r="K48" s="9"/>
      <c r="L48" s="9"/>
      <c r="R48" s="43"/>
      <c r="S48" s="43"/>
      <c r="T48" s="43"/>
      <c r="U48" s="43"/>
      <c r="V48" s="43"/>
      <c r="W48" s="43"/>
      <c r="X48" s="43"/>
      <c r="Y48" s="43"/>
      <c r="Z48" s="43"/>
      <c r="AA48" s="43"/>
      <c r="AB48" s="24"/>
      <c r="AC48" s="46"/>
      <c r="AD48" s="43"/>
      <c r="AE48" s="43"/>
      <c r="AF48" s="43"/>
      <c r="AG48" s="43"/>
      <c r="AH48" s="47"/>
    </row>
    <row r="49" spans="1:34" ht="11.65" customHeight="1" x14ac:dyDescent="0.25">
      <c r="C49" s="221" t="s">
        <v>194</v>
      </c>
      <c r="D49" s="221"/>
      <c r="E49" s="12" t="s">
        <v>195</v>
      </c>
      <c r="F49" s="12"/>
      <c r="G49" s="12"/>
      <c r="H49" s="12"/>
      <c r="I49" s="12"/>
      <c r="J49" s="12"/>
      <c r="K49" s="9"/>
      <c r="L49" s="9"/>
      <c r="R49" s="43"/>
      <c r="S49" s="29"/>
      <c r="T49" s="124"/>
      <c r="U49" s="124" t="str">
        <f>D47</f>
        <v>Bank Name:</v>
      </c>
      <c r="V49" s="29" t="str">
        <f>E47</f>
        <v>OCBC Bank</v>
      </c>
      <c r="W49" s="29"/>
      <c r="X49" s="29"/>
      <c r="Y49" s="29"/>
      <c r="AB49" s="24"/>
      <c r="AF49" s="43"/>
      <c r="AG49" s="43"/>
      <c r="AH49" s="61"/>
    </row>
    <row r="50" spans="1:34" ht="11.65" customHeight="1" x14ac:dyDescent="0.25">
      <c r="A50" s="9"/>
      <c r="B50" s="9"/>
      <c r="C50" s="221" t="s">
        <v>196</v>
      </c>
      <c r="D50" s="221"/>
      <c r="E50" s="222" t="s">
        <v>197</v>
      </c>
      <c r="F50" s="223"/>
      <c r="G50" s="223"/>
      <c r="H50" s="12"/>
      <c r="I50" s="12"/>
      <c r="J50" s="12"/>
      <c r="K50" s="9"/>
      <c r="L50" s="9"/>
      <c r="R50" s="43"/>
      <c r="S50" s="29"/>
      <c r="T50" s="124"/>
      <c r="U50" s="124"/>
      <c r="V50" s="29" t="str">
        <f>E48</f>
        <v>65 Chulia Streeet, OCBC Centre</v>
      </c>
      <c r="W50" s="29"/>
      <c r="X50" s="29"/>
      <c r="Y50" s="29"/>
      <c r="Z50" s="147"/>
      <c r="AA50" s="191"/>
      <c r="AB50" s="24"/>
      <c r="AC50" s="45"/>
      <c r="AD50" s="24"/>
      <c r="AE50" s="23"/>
      <c r="AF50" s="24"/>
      <c r="AG50" s="24"/>
      <c r="AH50" s="61"/>
    </row>
    <row r="51" spans="1:34" ht="11.65" customHeight="1" x14ac:dyDescent="0.25">
      <c r="A51" s="9"/>
      <c r="B51" s="9"/>
      <c r="C51" s="12"/>
      <c r="D51" s="190" t="s">
        <v>198</v>
      </c>
      <c r="E51" s="12" t="s">
        <v>199</v>
      </c>
      <c r="F51" s="12"/>
      <c r="G51" s="12"/>
      <c r="H51" s="12"/>
      <c r="I51" s="12"/>
      <c r="J51" s="12"/>
      <c r="K51" s="9"/>
      <c r="L51" s="9"/>
      <c r="R51" s="24"/>
      <c r="S51" s="29"/>
      <c r="T51" s="224" t="str">
        <f>C49</f>
        <v>Beneficiary Name:</v>
      </c>
      <c r="U51" s="224"/>
      <c r="V51" s="29" t="str">
        <f>E49</f>
        <v>Dinamik Shipping Pte Ltd</v>
      </c>
      <c r="W51" s="39"/>
      <c r="X51" s="29"/>
      <c r="Y51" s="29"/>
      <c r="Z51" s="147"/>
      <c r="AA51" s="191"/>
      <c r="AB51" s="24"/>
      <c r="AC51" s="45"/>
      <c r="AD51" s="24"/>
      <c r="AE51" s="23"/>
      <c r="AF51" s="24"/>
      <c r="AG51" s="24"/>
      <c r="AH51" s="61"/>
    </row>
    <row r="52" spans="1:34" ht="11.65" customHeight="1" x14ac:dyDescent="0.25">
      <c r="A52" s="9"/>
      <c r="B52" s="9"/>
      <c r="C52" s="12"/>
      <c r="D52" s="192"/>
      <c r="E52" s="12"/>
      <c r="F52" s="12"/>
      <c r="G52" s="12"/>
      <c r="H52" s="12"/>
      <c r="I52" s="12"/>
      <c r="J52" s="12"/>
      <c r="K52" s="9"/>
      <c r="L52" s="9"/>
      <c r="R52" s="24"/>
      <c r="S52" s="29"/>
      <c r="T52" s="224" t="str">
        <f>C50</f>
        <v>Bank Account No:</v>
      </c>
      <c r="U52" s="224"/>
      <c r="V52" s="29" t="str">
        <f>E50</f>
        <v>651869620001</v>
      </c>
      <c r="W52" s="29"/>
      <c r="X52" s="29"/>
      <c r="Y52" s="29"/>
      <c r="Z52" s="147"/>
      <c r="AA52" s="191"/>
      <c r="AB52" s="24"/>
      <c r="AC52" s="45"/>
      <c r="AD52" s="24"/>
      <c r="AE52" s="23"/>
      <c r="AF52" s="24"/>
      <c r="AG52" s="24"/>
      <c r="AH52" s="61"/>
    </row>
    <row r="53" spans="1:34" ht="11.65" customHeight="1" x14ac:dyDescent="0.25">
      <c r="A53" s="9"/>
      <c r="B53" s="9"/>
      <c r="C53" s="12"/>
      <c r="D53" s="192"/>
      <c r="E53" s="12"/>
      <c r="F53" s="192"/>
      <c r="G53" s="192"/>
      <c r="H53" s="192"/>
      <c r="I53" s="192"/>
      <c r="J53" s="12"/>
      <c r="K53" s="9"/>
      <c r="L53" s="9"/>
      <c r="N53" s="20"/>
      <c r="O53" s="9"/>
      <c r="R53" s="24"/>
      <c r="S53" s="29"/>
      <c r="T53" s="124"/>
      <c r="U53" s="193" t="s">
        <v>198</v>
      </c>
      <c r="V53" s="29" t="str">
        <f>E51</f>
        <v>200403109N</v>
      </c>
      <c r="W53" s="147"/>
      <c r="X53" s="191"/>
      <c r="Y53" s="29"/>
      <c r="Z53" s="147"/>
      <c r="AA53" s="191"/>
      <c r="AB53" s="24"/>
      <c r="AC53" s="45"/>
      <c r="AD53" s="24"/>
      <c r="AE53" s="23"/>
      <c r="AF53" s="24"/>
      <c r="AG53" s="24"/>
      <c r="AH53" s="26"/>
    </row>
    <row r="54" spans="1:34" ht="11.65" customHeight="1" x14ac:dyDescent="0.25">
      <c r="A54" s="9"/>
      <c r="B54" s="9"/>
      <c r="D54" s="9"/>
      <c r="F54" s="9"/>
      <c r="G54" s="9"/>
      <c r="H54" s="9"/>
      <c r="I54" s="9"/>
      <c r="K54" s="9"/>
      <c r="L54" s="9"/>
      <c r="R54" s="24"/>
      <c r="S54" s="29"/>
      <c r="T54" s="29"/>
      <c r="U54" s="191"/>
      <c r="V54" s="29"/>
      <c r="W54" s="147"/>
      <c r="X54" s="191"/>
      <c r="Y54" s="194"/>
      <c r="Z54" s="195"/>
      <c r="AA54" s="191"/>
      <c r="AB54" s="24"/>
      <c r="AC54" s="43"/>
      <c r="AD54" s="43"/>
      <c r="AE54" s="43"/>
      <c r="AF54" s="24"/>
      <c r="AG54" s="24"/>
      <c r="AH54" s="26"/>
    </row>
    <row r="55" spans="1:34" ht="11.65" customHeight="1" x14ac:dyDescent="0.25">
      <c r="A55" s="9"/>
      <c r="B55" s="9"/>
      <c r="D55" s="9"/>
      <c r="F55" s="9"/>
      <c r="G55" s="9"/>
      <c r="H55" s="9"/>
      <c r="I55" s="9"/>
      <c r="K55" s="9"/>
      <c r="L55" s="9"/>
      <c r="R55" s="24"/>
      <c r="S55" s="24"/>
      <c r="T55" s="196"/>
      <c r="U55" s="23"/>
      <c r="V55" s="24"/>
      <c r="W55" s="196"/>
      <c r="X55" s="23"/>
      <c r="Y55" s="52"/>
      <c r="Z55" s="196"/>
      <c r="AA55" s="23"/>
      <c r="AB55" s="24"/>
      <c r="AC55" s="43"/>
      <c r="AD55" s="43"/>
      <c r="AE55" s="43"/>
      <c r="AF55" s="24"/>
      <c r="AG55" s="24"/>
      <c r="AH55" s="26"/>
    </row>
    <row r="56" spans="1:34" ht="11.65" customHeight="1" x14ac:dyDescent="0.25">
      <c r="A56" s="9"/>
      <c r="B56" s="9"/>
      <c r="D56" s="9"/>
      <c r="F56" s="9"/>
      <c r="G56" s="9"/>
      <c r="H56" s="9"/>
      <c r="I56" s="9"/>
      <c r="K56" s="9"/>
      <c r="L56" s="9"/>
      <c r="R56" s="24"/>
      <c r="S56" s="24"/>
      <c r="T56" s="196"/>
      <c r="U56" s="23"/>
      <c r="V56" s="24"/>
      <c r="W56" s="196"/>
      <c r="X56" s="23"/>
      <c r="Y56" s="52"/>
      <c r="Z56" s="196"/>
      <c r="AA56" s="23"/>
      <c r="AB56" s="24"/>
      <c r="AC56" s="45"/>
      <c r="AD56" s="24"/>
      <c r="AE56" s="23"/>
      <c r="AF56" s="24"/>
      <c r="AG56" s="24"/>
      <c r="AH56" s="61"/>
    </row>
    <row r="57" spans="1:34" ht="13.5" x14ac:dyDescent="0.25">
      <c r="A57" s="9"/>
      <c r="B57" s="9"/>
      <c r="C57" s="9"/>
      <c r="D57" s="9"/>
      <c r="G57" s="9"/>
      <c r="H57" s="9"/>
      <c r="I57" s="9"/>
      <c r="J57" s="9"/>
      <c r="K57" s="9"/>
      <c r="L57" s="9"/>
      <c r="M57" s="9"/>
      <c r="N57" s="9"/>
      <c r="O57" s="9"/>
      <c r="P57" s="9"/>
      <c r="Q57" s="9"/>
      <c r="Z57" s="197"/>
    </row>
  </sheetData>
  <mergeCells count="17">
    <mergeCell ref="C50:D50"/>
    <mergeCell ref="E50:G50"/>
    <mergeCell ref="T51:U51"/>
    <mergeCell ref="T52:U52"/>
    <mergeCell ref="C20:F20"/>
    <mergeCell ref="E32:O32"/>
    <mergeCell ref="V32:AE32"/>
    <mergeCell ref="AA39:AE39"/>
    <mergeCell ref="AA43:AE43"/>
    <mergeCell ref="C49:D49"/>
    <mergeCell ref="AC7:AE7"/>
    <mergeCell ref="AD9:AE9"/>
    <mergeCell ref="C16:G16"/>
    <mergeCell ref="T16:X16"/>
    <mergeCell ref="D17:H17"/>
    <mergeCell ref="F19:G19"/>
    <mergeCell ref="W19:X19"/>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405B5946-9E58-481E-8FAB-7D1776676E50}">
          <x14:formula1>
            <xm:f>'Drop down list '!$H$2:$H$32</xm:f>
          </x14:formula1>
          <xm:sqref>M12 E19</xm:sqref>
        </x14:dataValidation>
        <x14:dataValidation type="list" allowBlank="1" showInputMessage="1" showErrorMessage="1" xr:uid="{37077C86-A745-4EF9-84AA-075637BC418C}">
          <x14:formula1>
            <xm:f>'Drop down list '!$I$2:$I$4</xm:f>
          </x14:formula1>
          <xm:sqref>F19</xm:sqref>
        </x14:dataValidation>
        <x14:dataValidation type="list" allowBlank="1" showInputMessage="1" showErrorMessage="1" xr:uid="{9542B9C1-8CE0-467B-9800-5219A4DFD0CE}">
          <x14:formula1>
            <xm:f>'Drop down list '!I2:I4</xm:f>
          </x14:formula1>
          <xm:sqref>N12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7CC1-17D9-4D9A-B3DB-9787291A3027}">
  <sheetPr codeName="Sheet1067">
    <tabColor rgb="FFFFFF00"/>
    <pageSetUpPr fitToPage="1"/>
  </sheetPr>
  <dimension ref="A1:AH57"/>
  <sheetViews>
    <sheetView zoomScaleNormal="100" workbookViewId="0">
      <selection activeCell="J31" sqref="J31"/>
    </sheetView>
  </sheetViews>
  <sheetFormatPr defaultRowHeight="12.75" x14ac:dyDescent="0.2"/>
  <cols>
    <col min="1" max="1" width="4.570312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5.42578125" style="2" customWidth="1"/>
    <col min="8" max="8" width="3" style="2" bestFit="1" customWidth="1"/>
    <col min="9" max="9" width="6.7109375" style="2" customWidth="1"/>
    <col min="10" max="10" width="7" style="2" customWidth="1"/>
    <col min="11" max="11" width="6.42578125" style="2" bestFit="1" customWidth="1"/>
    <col min="12" max="12" width="7.7109375" style="2" customWidth="1"/>
    <col min="13" max="13" width="3" style="2" customWidth="1"/>
    <col min="14" max="14" width="9.140625" style="2" customWidth="1"/>
    <col min="15" max="15" width="3.28515625" style="2" customWidth="1"/>
    <col min="16" max="16" width="1.85546875" customWidth="1"/>
    <col min="17" max="17" width="2.85546875" customWidth="1"/>
    <col min="18" max="18" width="2.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6.42578125" bestFit="1" customWidth="1"/>
    <col min="29" max="29" width="7.7109375" customWidth="1"/>
    <col min="30" max="30" width="3" customWidth="1"/>
    <col min="31" max="31" width="10.140625" customWidth="1"/>
    <col min="32" max="32" width="1.85546875" customWidth="1"/>
    <col min="33" max="34" width="3.2851562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12</v>
      </c>
      <c r="L7" s="8" t="s">
        <v>17</v>
      </c>
      <c r="R7" s="24"/>
      <c r="S7" s="24"/>
      <c r="T7" s="28" t="str">
        <f>C7</f>
        <v>Singapore Tong Teik (Pte) Ltd</v>
      </c>
      <c r="U7" s="24"/>
      <c r="V7" s="24"/>
      <c r="W7" s="24"/>
      <c r="X7" s="24"/>
      <c r="Y7" s="24"/>
      <c r="Z7" s="24"/>
      <c r="AA7" s="24"/>
      <c r="AB7" s="24"/>
      <c r="AC7" s="217" t="s">
        <v>17</v>
      </c>
      <c r="AD7" s="217"/>
      <c r="AE7" s="217"/>
      <c r="AF7" s="24"/>
      <c r="AG7" s="24"/>
      <c r="AH7" s="26"/>
    </row>
    <row r="8" spans="1:34" x14ac:dyDescent="0.2">
      <c r="C8" s="12" t="s">
        <v>184</v>
      </c>
      <c r="R8" s="24"/>
      <c r="S8" s="24"/>
      <c r="T8" s="29" t="str">
        <f>C8</f>
        <v>7 Temasek Boulevard,</v>
      </c>
      <c r="U8" s="24"/>
      <c r="V8" s="24"/>
      <c r="W8" s="24"/>
      <c r="X8" s="24"/>
      <c r="Y8" s="24"/>
      <c r="Z8" s="24"/>
      <c r="AA8" s="24"/>
      <c r="AB8" s="24"/>
      <c r="AC8" s="24"/>
      <c r="AD8" s="24"/>
      <c r="AE8" s="24"/>
      <c r="AF8" s="24"/>
      <c r="AG8" s="24"/>
      <c r="AH8" s="26"/>
    </row>
    <row r="9" spans="1:34" x14ac:dyDescent="0.2">
      <c r="C9" s="12" t="s">
        <v>185</v>
      </c>
      <c r="L9" s="12" t="s">
        <v>18</v>
      </c>
      <c r="M9" s="136" t="s">
        <v>318</v>
      </c>
      <c r="R9" s="24"/>
      <c r="S9" s="24"/>
      <c r="T9" s="29" t="str">
        <f>C9</f>
        <v>#20-02 Suntec Tower One,</v>
      </c>
      <c r="U9" s="24"/>
      <c r="V9" s="24"/>
      <c r="W9" s="24"/>
      <c r="X9" s="24"/>
      <c r="Y9" s="24"/>
      <c r="Z9" s="24"/>
      <c r="AA9" s="24"/>
      <c r="AB9" s="24"/>
      <c r="AC9" s="29" t="s">
        <v>18</v>
      </c>
      <c r="AD9" s="214" t="str">
        <f>M9</f>
        <v>DN202609-18</v>
      </c>
      <c r="AE9" s="214"/>
      <c r="AF9" s="24"/>
      <c r="AG9" s="24"/>
      <c r="AH9" s="26"/>
    </row>
    <row r="10" spans="1:34" x14ac:dyDescent="0.2">
      <c r="C10" s="12" t="s">
        <v>186</v>
      </c>
      <c r="R10" s="24"/>
      <c r="S10" s="24"/>
      <c r="T10" s="29" t="str">
        <f>C10</f>
        <v>Singapore 038987</v>
      </c>
      <c r="U10" s="24"/>
      <c r="V10" s="24"/>
      <c r="W10" s="24"/>
      <c r="X10" s="24"/>
      <c r="Y10" s="24"/>
      <c r="Z10" s="24"/>
      <c r="AA10" s="24"/>
      <c r="AB10" s="24"/>
      <c r="AC10" s="24"/>
      <c r="AD10" s="24"/>
      <c r="AE10" s="24"/>
      <c r="AF10" s="24"/>
      <c r="AG10" s="24"/>
      <c r="AH10" s="26"/>
    </row>
    <row r="11" spans="1:34" x14ac:dyDescent="0.2">
      <c r="C11" s="12"/>
      <c r="R11" s="24"/>
      <c r="S11" s="24"/>
      <c r="T11" s="29"/>
      <c r="U11" s="24"/>
      <c r="V11" s="24"/>
      <c r="W11" s="24"/>
      <c r="X11" s="24"/>
      <c r="Y11" s="24"/>
      <c r="Z11" s="24"/>
      <c r="AA11" s="24"/>
      <c r="AB11" s="24"/>
      <c r="AC11" s="24"/>
      <c r="AD11" s="24"/>
      <c r="AE11" s="24"/>
      <c r="AF11" s="24"/>
      <c r="AG11" s="24"/>
      <c r="AH11" s="26"/>
    </row>
    <row r="12" spans="1:34" x14ac:dyDescent="0.2">
      <c r="C12" s="12"/>
      <c r="L12" s="144" t="s">
        <v>19</v>
      </c>
      <c r="M12" s="144">
        <v>14</v>
      </c>
      <c r="N12" s="145">
        <v>46290</v>
      </c>
      <c r="R12" s="24"/>
      <c r="S12" s="24"/>
      <c r="T12" s="29"/>
      <c r="U12" s="24"/>
      <c r="V12" s="24"/>
      <c r="W12" s="24"/>
      <c r="X12" s="24"/>
      <c r="Y12" s="24"/>
      <c r="Z12" s="24"/>
      <c r="AA12" s="24"/>
      <c r="AB12" s="24"/>
      <c r="AC12" s="147" t="s">
        <v>19</v>
      </c>
      <c r="AD12" s="30">
        <f>M12</f>
        <v>14</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213" t="s">
        <v>12</v>
      </c>
      <c r="D16" s="216"/>
      <c r="E16" s="216"/>
      <c r="F16" s="216"/>
      <c r="G16" s="216"/>
      <c r="I16" s="136" t="s">
        <v>319</v>
      </c>
      <c r="L16" s="12"/>
      <c r="M16" s="12"/>
      <c r="N16" s="12"/>
      <c r="O16" s="12"/>
      <c r="P16" s="128"/>
      <c r="R16" s="35"/>
      <c r="S16" s="24"/>
      <c r="T16" s="214" t="str">
        <f>C16</f>
        <v>Singapore Tong Teik (Pte) Ltd</v>
      </c>
      <c r="U16" s="214"/>
      <c r="V16" s="214"/>
      <c r="W16" s="214"/>
      <c r="X16" s="214"/>
      <c r="Z16" s="12" t="str">
        <f>I16</f>
        <v>S/I No. S26-8042-IO</v>
      </c>
      <c r="AB16" s="24"/>
      <c r="AC16" s="29"/>
      <c r="AD16" s="29"/>
      <c r="AE16" s="29"/>
      <c r="AF16" s="29"/>
      <c r="AG16" s="36"/>
      <c r="AH16" s="26"/>
    </row>
    <row r="17" spans="1:34" ht="12.75" customHeight="1" x14ac:dyDescent="0.2">
      <c r="A17" s="10"/>
      <c r="C17" s="12">
        <v>32</v>
      </c>
      <c r="D17" s="216" t="s">
        <v>5</v>
      </c>
      <c r="E17" s="216"/>
      <c r="F17" s="216"/>
      <c r="G17" s="216"/>
      <c r="H17" s="216"/>
      <c r="I17" s="125">
        <f>C17/16*20.16</f>
        <v>40.32</v>
      </c>
      <c r="J17" s="12" t="s">
        <v>36</v>
      </c>
      <c r="K17" s="144" t="s">
        <v>320</v>
      </c>
      <c r="L17" s="148" t="s">
        <v>6</v>
      </c>
      <c r="M17" s="56"/>
      <c r="N17" s="12"/>
      <c r="O17" s="12"/>
      <c r="P17" s="128"/>
      <c r="R17" s="35"/>
      <c r="S17" s="24"/>
      <c r="T17" s="29">
        <f>C17</f>
        <v>32</v>
      </c>
      <c r="U17" s="29" t="str">
        <f>D17</f>
        <v>Shrinkwrapped Plastic Pallets Base</v>
      </c>
      <c r="V17" s="29"/>
      <c r="W17" s="29"/>
      <c r="Z17" s="126">
        <f>I17</f>
        <v>40.32</v>
      </c>
      <c r="AA17" s="12" t="s">
        <v>37</v>
      </c>
      <c r="AB17" s="12" t="str">
        <f>K17</f>
        <v>2 x 20'</v>
      </c>
      <c r="AC17" s="12" t="str">
        <f>L17</f>
        <v>SMR 20 Rubber</v>
      </c>
      <c r="AD17" s="29"/>
      <c r="AE17" s="29"/>
      <c r="AF17" s="29"/>
      <c r="AG17" s="36"/>
      <c r="AH17" s="26"/>
    </row>
    <row r="18" spans="1:34" ht="12.75" customHeight="1" x14ac:dyDescent="0.2">
      <c r="A18" s="10"/>
      <c r="C18" s="136" t="s">
        <v>281</v>
      </c>
      <c r="D18" s="12"/>
      <c r="E18" s="12"/>
      <c r="F18" s="12"/>
      <c r="G18" s="12"/>
      <c r="H18" s="12"/>
      <c r="I18" s="12"/>
      <c r="J18" s="12"/>
      <c r="K18" s="12"/>
      <c r="L18" s="12"/>
      <c r="M18" s="12"/>
      <c r="N18" s="12"/>
      <c r="O18" s="12"/>
      <c r="P18" s="128"/>
      <c r="R18" s="35"/>
      <c r="S18" s="24"/>
      <c r="T18" s="29" t="str">
        <f>C18</f>
        <v>Shipped per OOCL Yokohama Voy 214S</v>
      </c>
      <c r="U18" s="29"/>
      <c r="V18" s="29"/>
      <c r="W18" s="29"/>
      <c r="X18" s="29"/>
      <c r="Y18" s="29"/>
      <c r="Z18" s="29"/>
      <c r="AA18" s="29"/>
      <c r="AB18" s="29"/>
      <c r="AC18" s="29"/>
      <c r="AD18" s="29"/>
      <c r="AE18" s="29"/>
      <c r="AF18" s="29"/>
      <c r="AG18" s="36"/>
      <c r="AH18" s="26"/>
    </row>
    <row r="19" spans="1:34" ht="12.75" customHeight="1" x14ac:dyDescent="0.2">
      <c r="A19" s="10"/>
      <c r="C19" s="12" t="s">
        <v>38</v>
      </c>
      <c r="D19" s="12"/>
      <c r="E19" s="12">
        <v>12</v>
      </c>
      <c r="F19" s="211">
        <v>46290</v>
      </c>
      <c r="G19" s="211"/>
      <c r="H19" s="12"/>
      <c r="I19" s="12"/>
      <c r="J19" s="12"/>
      <c r="K19" s="12"/>
      <c r="L19" s="12"/>
      <c r="M19" s="12"/>
      <c r="N19" s="12"/>
      <c r="O19" s="12"/>
      <c r="P19" s="128"/>
      <c r="R19" s="35"/>
      <c r="S19" s="24"/>
      <c r="T19" s="29" t="str">
        <f>C19</f>
        <v>B/L dated</v>
      </c>
      <c r="U19" s="29"/>
      <c r="V19" s="29">
        <f>E19</f>
        <v>12</v>
      </c>
      <c r="W19" s="212">
        <f>F19</f>
        <v>46290</v>
      </c>
      <c r="X19" s="212"/>
      <c r="Y19" s="29"/>
      <c r="Z19" s="29"/>
      <c r="AA19" s="29"/>
      <c r="AB19" s="29"/>
      <c r="AC19" s="29"/>
      <c r="AD19" s="29"/>
      <c r="AE19" s="29"/>
      <c r="AF19" s="29"/>
      <c r="AG19" s="36"/>
      <c r="AH19" s="26"/>
    </row>
    <row r="20" spans="1:34" ht="12.75" customHeight="1" x14ac:dyDescent="0.2">
      <c r="A20" s="10"/>
      <c r="C20" s="216" t="s">
        <v>81</v>
      </c>
      <c r="D20" s="216"/>
      <c r="E20" s="216"/>
      <c r="F20" s="216"/>
      <c r="G20" s="12"/>
      <c r="H20" s="12"/>
      <c r="I20" s="12"/>
      <c r="J20" s="12"/>
      <c r="K20" s="12"/>
      <c r="L20" s="12"/>
      <c r="M20" s="12"/>
      <c r="N20" s="12"/>
      <c r="O20" s="12"/>
      <c r="P20" s="128"/>
      <c r="R20" s="35"/>
      <c r="S20" s="24"/>
      <c r="T20" s="29" t="str">
        <f>C20</f>
        <v>To Melbourne, Australia</v>
      </c>
      <c r="U20" s="29"/>
      <c r="V20" s="29"/>
      <c r="W20" s="29"/>
      <c r="X20" s="29"/>
      <c r="Y20" s="29"/>
      <c r="Z20" s="29"/>
      <c r="AA20" s="29"/>
      <c r="AB20" s="29"/>
      <c r="AC20" s="29"/>
      <c r="AD20" s="29"/>
      <c r="AE20" s="29"/>
      <c r="AF20" s="29"/>
      <c r="AG20" s="36"/>
      <c r="AH20" s="26"/>
    </row>
    <row r="21" spans="1:34" ht="10.15" customHeight="1" x14ac:dyDescent="0.2">
      <c r="A21" s="10"/>
      <c r="C21" s="13"/>
      <c r="D21" s="4"/>
      <c r="E21" s="13"/>
      <c r="F21" s="13"/>
      <c r="G21" s="13"/>
      <c r="H21" s="13"/>
      <c r="I21" s="13"/>
      <c r="J21" s="13"/>
      <c r="K21" s="13"/>
      <c r="L21" s="13"/>
      <c r="M21" s="13"/>
      <c r="N21" s="13"/>
      <c r="O21" s="12"/>
      <c r="P21" s="128"/>
      <c r="R21" s="35"/>
      <c r="S21" s="24"/>
      <c r="T21" s="37"/>
      <c r="U21" s="38"/>
      <c r="V21" s="37"/>
      <c r="W21" s="37"/>
      <c r="X21" s="37"/>
      <c r="Y21" s="37"/>
      <c r="Z21" s="37"/>
      <c r="AA21" s="37"/>
      <c r="AB21" s="37"/>
      <c r="AC21" s="37"/>
      <c r="AD21" s="37"/>
      <c r="AE21" s="37"/>
      <c r="AF21" s="29"/>
      <c r="AG21" s="36"/>
      <c r="AH21" s="26"/>
    </row>
    <row r="22" spans="1:34" x14ac:dyDescent="0.2">
      <c r="A22" s="10"/>
      <c r="C22" s="12"/>
      <c r="E22" s="12"/>
      <c r="F22" s="12"/>
      <c r="G22" s="12"/>
      <c r="H22" s="12"/>
      <c r="I22" s="12"/>
      <c r="J22" s="12"/>
      <c r="K22" s="12"/>
      <c r="L22" s="12"/>
      <c r="M22" s="12"/>
      <c r="N22" s="12"/>
      <c r="O22" s="12"/>
      <c r="P22" s="128"/>
      <c r="R22" s="35"/>
      <c r="S22" s="24"/>
      <c r="T22" s="29"/>
      <c r="U22" s="24"/>
      <c r="V22" s="29"/>
      <c r="W22" s="29"/>
      <c r="X22" s="29"/>
      <c r="Y22" s="29"/>
      <c r="Z22" s="29"/>
      <c r="AA22" s="29"/>
      <c r="AB22" s="29"/>
      <c r="AC22" s="29"/>
      <c r="AD22" s="29"/>
      <c r="AE22" s="29"/>
      <c r="AF22" s="29"/>
      <c r="AG22" s="36"/>
      <c r="AH22" s="26"/>
    </row>
    <row r="23" spans="1:34" x14ac:dyDescent="0.2">
      <c r="A23" s="10"/>
      <c r="C23" s="12" t="s">
        <v>187</v>
      </c>
      <c r="E23" s="12"/>
      <c r="F23" s="12"/>
      <c r="G23" s="12"/>
      <c r="H23" s="12"/>
      <c r="I23" s="12"/>
      <c r="J23" s="60"/>
      <c r="L23" s="12"/>
      <c r="M23" s="12" t="s">
        <v>20</v>
      </c>
      <c r="N23" s="14">
        <v>560</v>
      </c>
      <c r="O23" s="14"/>
      <c r="P23" s="128"/>
      <c r="R23" s="35"/>
      <c r="S23" s="24"/>
      <c r="T23" s="29" t="str">
        <f>C23</f>
        <v xml:space="preserve">Origin T.H.C paid on your behalf for </v>
      </c>
      <c r="U23" s="24"/>
      <c r="V23" s="29"/>
      <c r="W23" s="29"/>
      <c r="X23" s="29"/>
      <c r="Y23" s="29"/>
      <c r="Z23" s="190"/>
      <c r="AA23" s="59"/>
      <c r="AB23" s="2"/>
      <c r="AC23" s="29"/>
      <c r="AD23" s="29" t="s">
        <v>20</v>
      </c>
      <c r="AE23" s="39">
        <f>N23</f>
        <v>560</v>
      </c>
      <c r="AF23" s="39"/>
      <c r="AG23" s="40"/>
      <c r="AH23" s="26"/>
    </row>
    <row r="24" spans="1:34" x14ac:dyDescent="0.2">
      <c r="A24" s="10"/>
      <c r="C24" s="12" t="s">
        <v>321</v>
      </c>
      <c r="E24" s="12"/>
      <c r="F24" s="12"/>
      <c r="G24" s="12"/>
      <c r="H24" s="12"/>
      <c r="L24" s="12"/>
      <c r="M24" s="12"/>
      <c r="N24" s="14"/>
      <c r="O24" s="14"/>
      <c r="P24" s="128"/>
      <c r="R24" s="35"/>
      <c r="S24" s="24"/>
      <c r="T24" s="29" t="str">
        <f>C24</f>
        <v xml:space="preserve">2 x 20' SMR20 as per photocopy of </v>
      </c>
      <c r="U24" s="24"/>
      <c r="V24" s="29"/>
      <c r="W24" s="29"/>
      <c r="X24" s="29"/>
      <c r="Y24" s="29"/>
      <c r="Z24" s="29"/>
      <c r="AA24" s="29"/>
      <c r="AB24" s="24"/>
      <c r="AC24" s="29"/>
      <c r="AD24" s="29"/>
      <c r="AE24" s="39"/>
      <c r="AF24" s="39"/>
      <c r="AG24" s="40"/>
      <c r="AH24" s="26"/>
    </row>
    <row r="25" spans="1:34" x14ac:dyDescent="0.2">
      <c r="A25" s="10"/>
      <c r="C25" s="12" t="s">
        <v>188</v>
      </c>
      <c r="E25" s="12"/>
      <c r="F25" s="12"/>
      <c r="G25" s="12"/>
      <c r="H25" s="12"/>
      <c r="I25" s="12"/>
      <c r="L25" s="12"/>
      <c r="M25" s="12"/>
      <c r="N25" s="14"/>
      <c r="O25" s="14"/>
      <c r="P25" s="128"/>
      <c r="R25" s="35"/>
      <c r="S25" s="24"/>
      <c r="T25" s="29" t="str">
        <f>C25</f>
        <v>MEGA-AIR PTE LTD</v>
      </c>
      <c r="U25" s="24"/>
      <c r="V25" s="29"/>
      <c r="W25" s="29"/>
      <c r="X25" s="29"/>
      <c r="Y25" s="29"/>
      <c r="Z25" s="29"/>
      <c r="AA25" s="24"/>
      <c r="AB25" s="24"/>
      <c r="AC25" s="29"/>
      <c r="AD25" s="29"/>
      <c r="AE25" s="39"/>
      <c r="AF25" s="39"/>
      <c r="AG25" s="40"/>
      <c r="AH25" s="26"/>
    </row>
    <row r="26" spans="1:34" x14ac:dyDescent="0.2">
      <c r="A26" s="10"/>
      <c r="C26" s="2" t="s">
        <v>322</v>
      </c>
      <c r="D26" s="12"/>
      <c r="E26" s="12"/>
      <c r="F26" s="12"/>
      <c r="G26" s="12"/>
      <c r="H26" s="12"/>
      <c r="I26" s="12"/>
      <c r="J26" s="12"/>
      <c r="K26" s="12"/>
      <c r="L26" s="12"/>
      <c r="M26" s="13"/>
      <c r="N26" s="15"/>
      <c r="O26" s="14"/>
      <c r="P26" s="128"/>
      <c r="R26" s="35"/>
      <c r="S26" s="24"/>
      <c r="T26" s="24" t="str">
        <f>C26</f>
        <v>Invoice No. IVSE26090003</v>
      </c>
      <c r="U26" s="29"/>
      <c r="V26" s="29"/>
      <c r="W26" s="29"/>
      <c r="X26" s="29"/>
      <c r="Y26" s="29"/>
      <c r="Z26" s="29"/>
      <c r="AA26" s="29"/>
      <c r="AB26" s="29"/>
      <c r="AC26" s="29"/>
      <c r="AD26" s="37"/>
      <c r="AE26" s="41"/>
      <c r="AF26" s="39"/>
      <c r="AG26" s="40"/>
      <c r="AH26" s="26"/>
    </row>
    <row r="27" spans="1:34" ht="10.15" customHeight="1" x14ac:dyDescent="0.2">
      <c r="A27" s="10"/>
      <c r="C27" s="2" t="s">
        <v>189</v>
      </c>
      <c r="D27" s="12"/>
      <c r="E27" s="12"/>
      <c r="F27" s="12"/>
      <c r="G27" s="12"/>
      <c r="H27" s="12"/>
      <c r="I27" s="12"/>
      <c r="J27" s="12"/>
      <c r="K27" s="12"/>
      <c r="L27" s="12"/>
      <c r="M27" s="12"/>
      <c r="N27" s="14"/>
      <c r="O27" s="14"/>
      <c r="P27" s="128"/>
      <c r="R27" s="35"/>
      <c r="S27" s="24"/>
      <c r="T27" s="24" t="str">
        <f>C27</f>
        <v>Attached</v>
      </c>
      <c r="U27" s="29"/>
      <c r="V27" s="29"/>
      <c r="W27" s="29"/>
      <c r="X27" s="29"/>
      <c r="Y27" s="29"/>
      <c r="Z27" s="29"/>
      <c r="AA27" s="29"/>
      <c r="AB27" s="29"/>
      <c r="AC27" s="29"/>
      <c r="AD27" s="29"/>
      <c r="AE27" s="39"/>
      <c r="AF27" s="39"/>
      <c r="AG27" s="40"/>
      <c r="AH27" s="26"/>
    </row>
    <row r="28" spans="1:34" x14ac:dyDescent="0.2">
      <c r="A28" s="10"/>
      <c r="D28" s="12"/>
      <c r="E28" s="12"/>
      <c r="F28" s="12"/>
      <c r="G28" s="12"/>
      <c r="H28" s="12"/>
      <c r="I28" s="12"/>
      <c r="J28" s="12"/>
      <c r="K28" s="12"/>
      <c r="L28" s="12"/>
      <c r="M28" s="12" t="s">
        <v>20</v>
      </c>
      <c r="N28" s="14">
        <f>SUM(N23:N25)</f>
        <v>560</v>
      </c>
      <c r="O28" s="14"/>
      <c r="P28" s="128"/>
      <c r="R28" s="35"/>
      <c r="S28" s="24"/>
      <c r="T28" s="24"/>
      <c r="U28" s="29"/>
      <c r="V28" s="29"/>
      <c r="W28" s="29"/>
      <c r="X28" s="29"/>
      <c r="Y28" s="29"/>
      <c r="Z28" s="29"/>
      <c r="AA28" s="29"/>
      <c r="AB28" s="29"/>
      <c r="AC28" s="29"/>
      <c r="AD28" s="29" t="s">
        <v>20</v>
      </c>
      <c r="AE28" s="39">
        <f>SUM(AE23:AE25)</f>
        <v>560</v>
      </c>
      <c r="AF28" s="39"/>
      <c r="AG28" s="40"/>
      <c r="AH28" s="26"/>
    </row>
    <row r="29" spans="1:34" ht="10.15" customHeight="1" thickBot="1" x14ac:dyDescent="0.25">
      <c r="A29" s="10"/>
      <c r="D29" s="12"/>
      <c r="E29" s="12"/>
      <c r="F29" s="12"/>
      <c r="G29" s="12"/>
      <c r="H29" s="12"/>
      <c r="I29" s="12"/>
      <c r="J29" s="12"/>
      <c r="K29" s="12"/>
      <c r="L29" s="12"/>
      <c r="M29" s="16"/>
      <c r="N29" s="16"/>
      <c r="O29" s="12"/>
      <c r="P29" s="128"/>
      <c r="R29" s="35"/>
      <c r="S29" s="24"/>
      <c r="T29" s="24"/>
      <c r="U29" s="29"/>
      <c r="V29" s="29"/>
      <c r="W29" s="29"/>
      <c r="X29" s="29"/>
      <c r="Y29" s="29"/>
      <c r="Z29" s="29"/>
      <c r="AA29" s="29"/>
      <c r="AB29" s="29"/>
      <c r="AC29" s="29"/>
      <c r="AD29" s="42"/>
      <c r="AE29" s="42"/>
      <c r="AF29" s="29"/>
      <c r="AG29" s="36"/>
      <c r="AH29" s="26"/>
    </row>
    <row r="30" spans="1:34" ht="10.15" customHeight="1" thickTop="1" x14ac:dyDescent="0.2">
      <c r="A30" s="10"/>
      <c r="D30" s="12"/>
      <c r="E30" s="12"/>
      <c r="F30" s="12"/>
      <c r="G30" s="12"/>
      <c r="H30" s="12"/>
      <c r="I30" s="12"/>
      <c r="J30" s="12"/>
      <c r="K30" s="12"/>
      <c r="L30" s="12"/>
      <c r="M30" s="12"/>
      <c r="N30" s="12"/>
      <c r="O30" s="12"/>
      <c r="P30" s="128"/>
      <c r="R30" s="35"/>
      <c r="S30" s="24"/>
      <c r="T30" s="24"/>
      <c r="U30" s="29"/>
      <c r="V30" s="29"/>
      <c r="W30" s="29"/>
      <c r="X30" s="29"/>
      <c r="Y30" s="29"/>
      <c r="Z30" s="29"/>
      <c r="AA30" s="29"/>
      <c r="AB30" s="29"/>
      <c r="AC30" s="29"/>
      <c r="AD30" s="29"/>
      <c r="AE30" s="29"/>
      <c r="AF30" s="29"/>
      <c r="AG30" s="36"/>
      <c r="AH30" s="26"/>
    </row>
    <row r="31" spans="1:34" ht="12.75" customHeight="1" x14ac:dyDescent="0.2">
      <c r="A31" s="10"/>
      <c r="D31" s="12"/>
      <c r="E31" s="12"/>
      <c r="F31" s="12"/>
      <c r="G31" s="12"/>
      <c r="H31" s="12"/>
      <c r="I31" s="12"/>
      <c r="J31" s="12"/>
      <c r="K31" s="12"/>
      <c r="L31" s="12"/>
      <c r="M31" s="12"/>
      <c r="N31" s="12"/>
      <c r="O31" s="12"/>
      <c r="P31" s="128"/>
      <c r="R31" s="35"/>
      <c r="S31" s="24"/>
      <c r="T31" s="24"/>
      <c r="U31" s="29"/>
      <c r="V31" s="29"/>
      <c r="W31" s="29"/>
      <c r="X31" s="29"/>
      <c r="Y31" s="29"/>
      <c r="Z31" s="29"/>
      <c r="AA31" s="29"/>
      <c r="AB31" s="29"/>
      <c r="AC31" s="29"/>
      <c r="AD31" s="29"/>
      <c r="AE31" s="29"/>
      <c r="AF31" s="29"/>
      <c r="AG31" s="36"/>
      <c r="AH31" s="26"/>
    </row>
    <row r="32" spans="1:34" x14ac:dyDescent="0.2">
      <c r="A32" s="10"/>
      <c r="C32" s="12" t="s">
        <v>190</v>
      </c>
      <c r="E32" s="213" t="s">
        <v>323</v>
      </c>
      <c r="F32" s="213"/>
      <c r="G32" s="213"/>
      <c r="H32" s="213"/>
      <c r="I32" s="213"/>
      <c r="J32" s="213"/>
      <c r="K32" s="213"/>
      <c r="L32" s="213"/>
      <c r="M32" s="213"/>
      <c r="N32" s="213"/>
      <c r="O32" s="213"/>
      <c r="P32" s="128"/>
      <c r="R32" s="35"/>
      <c r="S32" s="24"/>
      <c r="T32" s="29" t="str">
        <f>C32</f>
        <v xml:space="preserve">Singapore Dollars </v>
      </c>
      <c r="U32" s="24"/>
      <c r="V32" s="214" t="str">
        <f>E32</f>
        <v>Five Hundred Sixty Only</v>
      </c>
      <c r="W32" s="214"/>
      <c r="X32" s="214"/>
      <c r="Y32" s="214"/>
      <c r="Z32" s="214"/>
      <c r="AA32" s="214"/>
      <c r="AB32" s="214"/>
      <c r="AC32" s="214"/>
      <c r="AD32" s="214"/>
      <c r="AE32" s="214"/>
      <c r="AF32" s="29"/>
      <c r="AG32" s="36"/>
      <c r="AH32" s="26"/>
    </row>
    <row r="33" spans="1:34" ht="12.75" customHeight="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P34" s="128"/>
      <c r="R34" s="35"/>
      <c r="S34" s="24"/>
      <c r="T34" s="24"/>
      <c r="U34" s="24"/>
      <c r="V34" s="24"/>
      <c r="W34" s="24"/>
      <c r="X34" s="24"/>
      <c r="Y34" s="24"/>
      <c r="Z34" s="24"/>
      <c r="AA34" s="24"/>
      <c r="AB34" s="24"/>
      <c r="AC34" s="24"/>
      <c r="AD34" s="24"/>
      <c r="AE34" s="24"/>
      <c r="AF34" s="24"/>
      <c r="AG34" s="35"/>
      <c r="AH34" s="26"/>
    </row>
    <row r="35" spans="1:34" ht="12.75" customHeight="1" x14ac:dyDescent="0.2">
      <c r="R35" s="24"/>
      <c r="S35" s="24"/>
      <c r="T35" s="24"/>
      <c r="U35" s="24"/>
      <c r="V35" s="24"/>
      <c r="W35" s="24"/>
      <c r="X35" s="24"/>
      <c r="Y35" s="24"/>
      <c r="Z35" s="24"/>
      <c r="AA35" s="24"/>
      <c r="AB35" s="24"/>
      <c r="AC35" s="24"/>
      <c r="AD35" s="24"/>
      <c r="AE35" s="24"/>
      <c r="AF35" s="24"/>
      <c r="AG35" s="24"/>
      <c r="AH35" s="26"/>
    </row>
    <row r="36" spans="1:34" ht="12.75" customHeight="1" x14ac:dyDescent="0.2">
      <c r="R36" s="24"/>
      <c r="S36" s="24"/>
      <c r="T36" s="24"/>
      <c r="U36" s="24"/>
      <c r="V36" s="24"/>
      <c r="W36" s="24"/>
      <c r="X36" s="24"/>
      <c r="Y36" s="24"/>
      <c r="Z36" s="24"/>
      <c r="AA36" s="24"/>
      <c r="AB36" s="24"/>
      <c r="AC36" s="24"/>
      <c r="AD36" s="24"/>
      <c r="AE36" s="24"/>
      <c r="AF36" s="24"/>
      <c r="AG36" s="24"/>
      <c r="AH36" s="26"/>
    </row>
    <row r="37" spans="1:34" ht="12.75" customHeight="1" x14ac:dyDescent="0.2">
      <c r="D37" s="18"/>
      <c r="R37" s="24"/>
      <c r="S37" s="24"/>
      <c r="T37" s="24"/>
      <c r="U37" s="43"/>
      <c r="V37" s="24"/>
      <c r="W37" s="24"/>
      <c r="X37" s="24"/>
      <c r="Y37" s="24"/>
      <c r="Z37" s="24"/>
      <c r="AA37" s="24"/>
      <c r="AB37" s="24"/>
      <c r="AC37" s="24"/>
      <c r="AD37" s="24"/>
      <c r="AE37" s="24"/>
      <c r="AF37" s="24"/>
      <c r="AG37" s="24"/>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x14ac:dyDescent="0.2">
      <c r="N39" s="150" t="s">
        <v>23</v>
      </c>
      <c r="O39" s="150"/>
      <c r="R39" s="24"/>
      <c r="S39" s="24"/>
      <c r="T39" s="24"/>
      <c r="U39" s="24"/>
      <c r="V39" s="24"/>
      <c r="W39" s="24"/>
      <c r="X39" s="24"/>
      <c r="Y39" s="24"/>
      <c r="Z39" s="24"/>
      <c r="AA39" s="209" t="s">
        <v>24</v>
      </c>
      <c r="AB39" s="209"/>
      <c r="AC39" s="209"/>
      <c r="AD39" s="209"/>
      <c r="AE39" s="209"/>
      <c r="AF39" s="149"/>
      <c r="AG39" s="149"/>
      <c r="AH39" s="26"/>
    </row>
    <row r="40" spans="1:34" x14ac:dyDescent="0.2">
      <c r="R40" s="24"/>
      <c r="S40" s="24"/>
      <c r="T40" s="24"/>
      <c r="U40" s="24"/>
      <c r="V40" s="24"/>
      <c r="W40" s="24"/>
      <c r="X40" s="24"/>
      <c r="Y40" s="24"/>
      <c r="Z40" s="24"/>
      <c r="AA40" s="24"/>
      <c r="AB40" s="24"/>
      <c r="AC40" s="24"/>
      <c r="AD40" s="24"/>
      <c r="AE40" s="24"/>
      <c r="AF40" s="24"/>
      <c r="AG40" s="24"/>
      <c r="AH40" s="26"/>
    </row>
    <row r="41" spans="1:34" x14ac:dyDescent="0.2">
      <c r="R41" s="24"/>
      <c r="S41" s="24"/>
      <c r="T41" s="24"/>
      <c r="U41" s="24"/>
      <c r="V41" s="24"/>
      <c r="W41" s="24"/>
      <c r="X41" s="24"/>
      <c r="Y41" s="24"/>
      <c r="Z41" s="24"/>
      <c r="AA41" s="24"/>
      <c r="AB41" s="24"/>
      <c r="AC41" s="24"/>
      <c r="AD41" s="24"/>
      <c r="AE41" s="24"/>
      <c r="AF41" s="24"/>
      <c r="AG41" s="24"/>
      <c r="AH41" s="26"/>
    </row>
    <row r="42" spans="1:34" x14ac:dyDescent="0.2">
      <c r="R42" s="24"/>
      <c r="S42" s="24"/>
      <c r="T42" s="24"/>
      <c r="U42" s="24"/>
      <c r="V42" s="24"/>
      <c r="W42" s="24"/>
      <c r="X42" s="24"/>
      <c r="Y42" s="24"/>
      <c r="Z42" s="24"/>
      <c r="AA42" s="24"/>
      <c r="AB42" s="24"/>
      <c r="AC42" s="24"/>
      <c r="AD42" s="24"/>
      <c r="AE42" s="24"/>
      <c r="AF42" s="24"/>
      <c r="AG42" s="24"/>
      <c r="AH42" s="26"/>
    </row>
    <row r="43" spans="1:34" x14ac:dyDescent="0.2">
      <c r="N43" s="150" t="s">
        <v>25</v>
      </c>
      <c r="O43" s="150"/>
      <c r="R43" s="24"/>
      <c r="S43" s="24"/>
      <c r="T43" s="26"/>
      <c r="U43" s="24"/>
      <c r="V43" s="24"/>
      <c r="W43" s="24"/>
      <c r="X43" s="24"/>
      <c r="Y43" s="24"/>
      <c r="Z43" s="24"/>
      <c r="AA43" s="210" t="s">
        <v>25</v>
      </c>
      <c r="AB43" s="210"/>
      <c r="AC43" s="210"/>
      <c r="AD43" s="210"/>
      <c r="AE43" s="210"/>
      <c r="AF43" s="149"/>
      <c r="AG43" s="149"/>
      <c r="AH43" s="26"/>
    </row>
    <row r="44" spans="1:34" ht="12.75" customHeight="1" x14ac:dyDescent="0.2">
      <c r="C44" s="19" t="s">
        <v>26</v>
      </c>
      <c r="R44" s="24"/>
      <c r="S44" s="24"/>
      <c r="T44" s="44" t="s">
        <v>26</v>
      </c>
      <c r="U44" s="24"/>
      <c r="V44" s="24"/>
      <c r="W44" s="24"/>
      <c r="X44" s="24"/>
      <c r="Y44" s="24"/>
      <c r="Z44" s="24"/>
      <c r="AA44" s="24"/>
      <c r="AB44" s="24"/>
      <c r="AC44" s="24"/>
      <c r="AD44" s="24"/>
      <c r="AE44" s="24"/>
      <c r="AF44" s="24"/>
      <c r="AG44" s="24"/>
      <c r="AH44" s="26"/>
    </row>
    <row r="45" spans="1:34" ht="12.75" customHeight="1" x14ac:dyDescent="0.2">
      <c r="R45" s="24"/>
      <c r="S45" s="38"/>
      <c r="T45" s="38"/>
      <c r="U45" s="38"/>
      <c r="V45" s="38"/>
      <c r="W45" s="38"/>
      <c r="X45" s="38"/>
      <c r="Y45" s="38"/>
      <c r="Z45" s="38"/>
      <c r="AA45" s="38"/>
      <c r="AB45" s="38"/>
      <c r="AC45" s="38"/>
      <c r="AD45" s="38"/>
      <c r="AE45" s="38"/>
      <c r="AF45" s="38"/>
      <c r="AG45" s="24"/>
      <c r="AH45" s="26"/>
    </row>
    <row r="46" spans="1:34" ht="3" customHeight="1" x14ac:dyDescent="0.2">
      <c r="R46" s="24"/>
      <c r="S46" s="24"/>
      <c r="T46" s="24"/>
      <c r="U46" s="24"/>
      <c r="V46" s="24"/>
      <c r="W46" s="24"/>
      <c r="X46" s="24"/>
      <c r="Y46" s="24"/>
      <c r="Z46" s="24"/>
      <c r="AA46" s="24"/>
      <c r="AB46" s="24"/>
      <c r="AC46" s="24"/>
      <c r="AD46" s="24"/>
      <c r="AE46" s="24"/>
      <c r="AF46" s="24"/>
      <c r="AG46" s="24"/>
      <c r="AH46" s="26"/>
    </row>
    <row r="47" spans="1:34" ht="11.65" customHeight="1" x14ac:dyDescent="0.25">
      <c r="C47" s="12"/>
      <c r="D47" s="190" t="s">
        <v>191</v>
      </c>
      <c r="E47" s="12" t="s">
        <v>192</v>
      </c>
      <c r="F47" s="12"/>
      <c r="G47" s="12"/>
      <c r="H47" s="12"/>
      <c r="I47" s="12"/>
      <c r="J47" s="12"/>
      <c r="K47" s="9"/>
      <c r="L47" s="9"/>
      <c r="S47" s="45"/>
      <c r="T47" s="45" t="s">
        <v>27</v>
      </c>
      <c r="U47" s="24"/>
      <c r="V47" s="24"/>
      <c r="W47" s="24"/>
      <c r="X47" s="24"/>
      <c r="Y47" s="24"/>
      <c r="Z47" s="24"/>
      <c r="AA47" s="24"/>
      <c r="AB47" s="24"/>
      <c r="AC47" s="24"/>
      <c r="AD47" s="24"/>
      <c r="AE47" s="24"/>
      <c r="AF47" s="24"/>
      <c r="AG47" s="24"/>
      <c r="AH47" s="26"/>
    </row>
    <row r="48" spans="1:34" ht="11.65" customHeight="1" x14ac:dyDescent="0.25">
      <c r="C48" s="12"/>
      <c r="D48" s="12"/>
      <c r="E48" s="12" t="s">
        <v>193</v>
      </c>
      <c r="F48" s="12"/>
      <c r="G48" s="12"/>
      <c r="H48" s="12"/>
      <c r="I48" s="12"/>
      <c r="J48" s="12"/>
      <c r="K48" s="9"/>
      <c r="L48" s="9"/>
      <c r="R48" s="43"/>
      <c r="S48" s="43"/>
      <c r="T48" s="43"/>
      <c r="U48" s="43"/>
      <c r="V48" s="43"/>
      <c r="W48" s="43"/>
      <c r="X48" s="43"/>
      <c r="Y48" s="43"/>
      <c r="Z48" s="43"/>
      <c r="AA48" s="43"/>
      <c r="AB48" s="24"/>
      <c r="AC48" s="46"/>
      <c r="AD48" s="43"/>
      <c r="AE48" s="43"/>
      <c r="AF48" s="43"/>
      <c r="AG48" s="43"/>
      <c r="AH48" s="47"/>
    </row>
    <row r="49" spans="1:34" ht="11.65" customHeight="1" x14ac:dyDescent="0.25">
      <c r="C49" s="221" t="s">
        <v>194</v>
      </c>
      <c r="D49" s="221"/>
      <c r="E49" s="12" t="s">
        <v>195</v>
      </c>
      <c r="F49" s="12"/>
      <c r="G49" s="12"/>
      <c r="H49" s="12"/>
      <c r="I49" s="12"/>
      <c r="J49" s="12"/>
      <c r="K49" s="9"/>
      <c r="L49" s="9"/>
      <c r="R49" s="43"/>
      <c r="S49" s="29"/>
      <c r="T49" s="124"/>
      <c r="U49" s="124" t="str">
        <f>D47</f>
        <v>Bank Name:</v>
      </c>
      <c r="V49" s="29" t="str">
        <f>E47</f>
        <v>OCBC Bank</v>
      </c>
      <c r="W49" s="29"/>
      <c r="X49" s="29"/>
      <c r="Y49" s="29"/>
      <c r="AB49" s="24"/>
      <c r="AF49" s="43"/>
      <c r="AG49" s="43"/>
      <c r="AH49" s="61"/>
    </row>
    <row r="50" spans="1:34" ht="11.65" customHeight="1" x14ac:dyDescent="0.25">
      <c r="A50" s="9"/>
      <c r="B50" s="9"/>
      <c r="C50" s="221" t="s">
        <v>196</v>
      </c>
      <c r="D50" s="221"/>
      <c r="E50" s="222" t="s">
        <v>197</v>
      </c>
      <c r="F50" s="223"/>
      <c r="G50" s="223"/>
      <c r="H50" s="12"/>
      <c r="I50" s="12"/>
      <c r="J50" s="12"/>
      <c r="K50" s="9"/>
      <c r="L50" s="9"/>
      <c r="R50" s="43"/>
      <c r="S50" s="29"/>
      <c r="T50" s="124"/>
      <c r="U50" s="124"/>
      <c r="V50" s="29" t="str">
        <f>E48</f>
        <v>65 Chulia Streeet, OCBC Centre</v>
      </c>
      <c r="W50" s="29"/>
      <c r="X50" s="29"/>
      <c r="Y50" s="29"/>
      <c r="Z50" s="147"/>
      <c r="AA50" s="191"/>
      <c r="AB50" s="24"/>
      <c r="AC50" s="45"/>
      <c r="AD50" s="24"/>
      <c r="AE50" s="23"/>
      <c r="AF50" s="24"/>
      <c r="AG50" s="24"/>
      <c r="AH50" s="61"/>
    </row>
    <row r="51" spans="1:34" ht="11.65" customHeight="1" x14ac:dyDescent="0.25">
      <c r="A51" s="9"/>
      <c r="B51" s="9"/>
      <c r="C51" s="12"/>
      <c r="D51" s="190" t="s">
        <v>198</v>
      </c>
      <c r="E51" s="12" t="s">
        <v>199</v>
      </c>
      <c r="F51" s="12"/>
      <c r="G51" s="12"/>
      <c r="H51" s="12"/>
      <c r="I51" s="12"/>
      <c r="J51" s="12"/>
      <c r="K51" s="9"/>
      <c r="L51" s="9"/>
      <c r="R51" s="24"/>
      <c r="S51" s="29"/>
      <c r="T51" s="224" t="str">
        <f>C49</f>
        <v>Beneficiary Name:</v>
      </c>
      <c r="U51" s="224"/>
      <c r="V51" s="29" t="str">
        <f>E49</f>
        <v>Dinamik Shipping Pte Ltd</v>
      </c>
      <c r="W51" s="39"/>
      <c r="X51" s="29"/>
      <c r="Y51" s="29"/>
      <c r="Z51" s="147"/>
      <c r="AA51" s="191"/>
      <c r="AB51" s="24"/>
      <c r="AC51" s="45"/>
      <c r="AD51" s="24"/>
      <c r="AE51" s="23"/>
      <c r="AF51" s="24"/>
      <c r="AG51" s="24"/>
      <c r="AH51" s="61"/>
    </row>
    <row r="52" spans="1:34" ht="11.65" customHeight="1" x14ac:dyDescent="0.25">
      <c r="A52" s="9"/>
      <c r="B52" s="9"/>
      <c r="C52" s="12"/>
      <c r="D52" s="192"/>
      <c r="E52" s="12"/>
      <c r="F52" s="12"/>
      <c r="G52" s="12"/>
      <c r="H52" s="12"/>
      <c r="I52" s="12"/>
      <c r="J52" s="12"/>
      <c r="K52" s="9"/>
      <c r="L52" s="9"/>
      <c r="R52" s="24"/>
      <c r="S52" s="29"/>
      <c r="T52" s="224" t="str">
        <f>C50</f>
        <v>Bank Account No:</v>
      </c>
      <c r="U52" s="224"/>
      <c r="V52" s="29" t="str">
        <f>E50</f>
        <v>651869620001</v>
      </c>
      <c r="W52" s="29"/>
      <c r="X52" s="29"/>
      <c r="Y52" s="29"/>
      <c r="Z52" s="147"/>
      <c r="AA52" s="191"/>
      <c r="AB52" s="24"/>
      <c r="AC52" s="45"/>
      <c r="AD52" s="24"/>
      <c r="AE52" s="23"/>
      <c r="AF52" s="24"/>
      <c r="AG52" s="24"/>
      <c r="AH52" s="61"/>
    </row>
    <row r="53" spans="1:34" ht="11.65" customHeight="1" x14ac:dyDescent="0.25">
      <c r="A53" s="9"/>
      <c r="B53" s="9"/>
      <c r="C53" s="12"/>
      <c r="D53" s="192"/>
      <c r="E53" s="12"/>
      <c r="F53" s="192"/>
      <c r="G53" s="192"/>
      <c r="H53" s="192"/>
      <c r="I53" s="192"/>
      <c r="J53" s="12"/>
      <c r="K53" s="9"/>
      <c r="L53" s="9"/>
      <c r="N53" s="20"/>
      <c r="O53" s="9"/>
      <c r="R53" s="24"/>
      <c r="S53" s="29"/>
      <c r="T53" s="124"/>
      <c r="U53" s="193" t="s">
        <v>198</v>
      </c>
      <c r="V53" s="29" t="str">
        <f>E51</f>
        <v>200403109N</v>
      </c>
      <c r="W53" s="147"/>
      <c r="X53" s="191"/>
      <c r="Y53" s="29"/>
      <c r="Z53" s="147"/>
      <c r="AA53" s="191"/>
      <c r="AB53" s="24"/>
      <c r="AC53" s="45"/>
      <c r="AD53" s="24"/>
      <c r="AE53" s="23"/>
      <c r="AF53" s="24"/>
      <c r="AG53" s="24"/>
      <c r="AH53" s="26"/>
    </row>
    <row r="54" spans="1:34" ht="11.65" customHeight="1" x14ac:dyDescent="0.25">
      <c r="A54" s="9"/>
      <c r="B54" s="9"/>
      <c r="D54" s="9"/>
      <c r="F54" s="9"/>
      <c r="G54" s="9"/>
      <c r="H54" s="9"/>
      <c r="I54" s="9"/>
      <c r="K54" s="9"/>
      <c r="L54" s="9"/>
      <c r="R54" s="24"/>
      <c r="S54" s="29"/>
      <c r="T54" s="29"/>
      <c r="U54" s="191"/>
      <c r="V54" s="29"/>
      <c r="W54" s="147"/>
      <c r="X54" s="191"/>
      <c r="Y54" s="194"/>
      <c r="Z54" s="195"/>
      <c r="AA54" s="191"/>
      <c r="AB54" s="24"/>
      <c r="AC54" s="43"/>
      <c r="AD54" s="43"/>
      <c r="AE54" s="43"/>
      <c r="AF54" s="24"/>
      <c r="AG54" s="24"/>
      <c r="AH54" s="26"/>
    </row>
    <row r="55" spans="1:34" ht="11.65" customHeight="1" x14ac:dyDescent="0.25">
      <c r="A55" s="9"/>
      <c r="B55" s="9"/>
      <c r="D55" s="9"/>
      <c r="F55" s="9"/>
      <c r="G55" s="9"/>
      <c r="H55" s="9"/>
      <c r="I55" s="9"/>
      <c r="K55" s="9"/>
      <c r="L55" s="9"/>
      <c r="R55" s="24"/>
      <c r="S55" s="24"/>
      <c r="T55" s="196"/>
      <c r="U55" s="23"/>
      <c r="V55" s="24"/>
      <c r="W55" s="196"/>
      <c r="X55" s="23"/>
      <c r="Y55" s="52"/>
      <c r="Z55" s="196"/>
      <c r="AA55" s="23"/>
      <c r="AB55" s="24"/>
      <c r="AC55" s="43"/>
      <c r="AD55" s="43"/>
      <c r="AE55" s="43"/>
      <c r="AF55" s="24"/>
      <c r="AG55" s="24"/>
      <c r="AH55" s="26"/>
    </row>
    <row r="56" spans="1:34" ht="11.65" customHeight="1" x14ac:dyDescent="0.25">
      <c r="A56" s="9"/>
      <c r="B56" s="9"/>
      <c r="D56" s="9"/>
      <c r="F56" s="9"/>
      <c r="G56" s="9"/>
      <c r="H56" s="9"/>
      <c r="I56" s="9"/>
      <c r="K56" s="9"/>
      <c r="L56" s="9"/>
      <c r="R56" s="24"/>
      <c r="S56" s="24"/>
      <c r="T56" s="196"/>
      <c r="U56" s="23"/>
      <c r="V56" s="24"/>
      <c r="W56" s="196"/>
      <c r="X56" s="23"/>
      <c r="Y56" s="52"/>
      <c r="Z56" s="196"/>
      <c r="AA56" s="23"/>
      <c r="AB56" s="24"/>
      <c r="AC56" s="45"/>
      <c r="AD56" s="24"/>
      <c r="AE56" s="23"/>
      <c r="AF56" s="24"/>
      <c r="AG56" s="24"/>
      <c r="AH56" s="61"/>
    </row>
    <row r="57" spans="1:34" ht="13.5" x14ac:dyDescent="0.25">
      <c r="A57" s="9"/>
      <c r="B57" s="9"/>
      <c r="C57" s="9"/>
      <c r="D57" s="9"/>
      <c r="G57" s="9"/>
      <c r="H57" s="9"/>
      <c r="I57" s="9"/>
      <c r="J57" s="9"/>
      <c r="K57" s="9"/>
      <c r="L57" s="9"/>
      <c r="M57" s="9"/>
      <c r="N57" s="9"/>
      <c r="O57" s="9"/>
      <c r="P57" s="9"/>
      <c r="Q57" s="9"/>
      <c r="Z57" s="197"/>
    </row>
  </sheetData>
  <mergeCells count="17">
    <mergeCell ref="V32:AE32"/>
    <mergeCell ref="AA39:AE39"/>
    <mergeCell ref="AA43:AE43"/>
    <mergeCell ref="C49:D49"/>
    <mergeCell ref="AC7:AE7"/>
    <mergeCell ref="AD9:AE9"/>
    <mergeCell ref="C16:G16"/>
    <mergeCell ref="T16:X16"/>
    <mergeCell ref="D17:H17"/>
    <mergeCell ref="F19:G19"/>
    <mergeCell ref="W19:X19"/>
    <mergeCell ref="C50:D50"/>
    <mergeCell ref="E50:G50"/>
    <mergeCell ref="T51:U51"/>
    <mergeCell ref="T52:U52"/>
    <mergeCell ref="C20:F20"/>
    <mergeCell ref="E32:O32"/>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52B34F59-EB6A-4F49-891E-DDF83826D749}">
          <x14:formula1>
            <xm:f>'Drop down list '!$H$2:$H$32</xm:f>
          </x14:formula1>
          <xm:sqref>M12 E19</xm:sqref>
        </x14:dataValidation>
        <x14:dataValidation type="list" allowBlank="1" showInputMessage="1" showErrorMessage="1" xr:uid="{711BAAF3-9441-4046-A85E-CBC0C82CF492}">
          <x14:formula1>
            <xm:f>'Drop down list '!$I$2:$I$4</xm:f>
          </x14:formula1>
          <xm:sqref>F19</xm:sqref>
        </x14:dataValidation>
        <x14:dataValidation type="list" allowBlank="1" showInputMessage="1" showErrorMessage="1" xr:uid="{8C56E854-92A6-4469-B0AA-FA39F5A9DEF7}">
          <x14:formula1>
            <xm:f>'Drop down list '!I2:I4</xm:f>
          </x14:formula1>
          <xm:sqref>N12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25D1-30AC-4A28-88F9-303AF3B873D5}">
  <sheetPr codeName="Sheet262">
    <tabColor rgb="FFFFFF00"/>
    <pageSetUpPr fitToPage="1"/>
  </sheetPr>
  <dimension ref="A1:AF63"/>
  <sheetViews>
    <sheetView zoomScaleNormal="100" workbookViewId="0">
      <selection activeCell="N11" sqref="N11"/>
    </sheetView>
  </sheetViews>
  <sheetFormatPr defaultRowHeight="12.75" x14ac:dyDescent="0.2"/>
  <cols>
    <col min="1" max="1" width="5.7109375" style="63" customWidth="1"/>
    <col min="2" max="2" width="1.7109375" style="63" customWidth="1"/>
    <col min="3" max="3" width="3.7109375" style="63" customWidth="1"/>
    <col min="4" max="4" width="7.7109375" style="63" customWidth="1"/>
    <col min="5" max="6" width="3.7109375" style="63" customWidth="1"/>
    <col min="7" max="7" width="9" style="63" customWidth="1"/>
    <col min="8" max="8" width="3.7109375" style="63" customWidth="1"/>
    <col min="9" max="9" width="8.28515625" style="63" customWidth="1"/>
    <col min="10" max="10" width="7.7109375" style="63" customWidth="1"/>
    <col min="11" max="11" width="3.7109375" style="63" customWidth="1"/>
    <col min="12" max="12" width="7.7109375" style="63" customWidth="1"/>
    <col min="13" max="13" width="3" style="63" customWidth="1"/>
    <col min="14" max="14" width="10.7109375" style="63" customWidth="1"/>
    <col min="15" max="15" width="1.7109375" style="63" customWidth="1"/>
    <col min="16" max="17" width="5.7109375" style="65" customWidth="1"/>
    <col min="18" max="18" width="1.7109375" style="65" customWidth="1"/>
    <col min="19" max="19" width="3.7109375" style="65" customWidth="1"/>
    <col min="20" max="20" width="7.7109375" style="65" customWidth="1"/>
    <col min="21" max="22" width="3.7109375" style="65" customWidth="1"/>
    <col min="23" max="23" width="9" style="65" customWidth="1"/>
    <col min="24" max="24" width="3.7109375" style="65" customWidth="1"/>
    <col min="25" max="25" width="8.28515625" style="65" customWidth="1"/>
    <col min="26" max="26" width="7.7109375" style="65" customWidth="1"/>
    <col min="27" max="27" width="3.7109375" style="65" customWidth="1"/>
    <col min="28" max="28" width="7.7109375" style="65" customWidth="1"/>
    <col min="29" max="29" width="3" style="65" customWidth="1"/>
    <col min="30" max="30" width="10.7109375" style="65" customWidth="1"/>
    <col min="31" max="31" width="1.7109375" style="65" customWidth="1"/>
    <col min="32" max="32" width="5.7109375" style="65" customWidth="1"/>
    <col min="33" max="256" width="9.140625" style="65"/>
    <col min="257" max="257" width="5.7109375" style="65" customWidth="1"/>
    <col min="258" max="258" width="1.7109375" style="65" customWidth="1"/>
    <col min="259" max="259" width="3.7109375" style="65" customWidth="1"/>
    <col min="260" max="260" width="7.7109375" style="65" customWidth="1"/>
    <col min="261" max="262" width="3.7109375" style="65" customWidth="1"/>
    <col min="263" max="263" width="8.28515625" style="65" customWidth="1"/>
    <col min="264" max="264" width="3.7109375" style="65" customWidth="1"/>
    <col min="265" max="265" width="8.28515625" style="65" customWidth="1"/>
    <col min="266" max="266" width="7.7109375" style="65" customWidth="1"/>
    <col min="267" max="267" width="3.7109375" style="65" customWidth="1"/>
    <col min="268" max="268" width="7.7109375" style="65" customWidth="1"/>
    <col min="269" max="269" width="2.7109375" style="65" customWidth="1"/>
    <col min="270" max="270" width="10.7109375" style="65" customWidth="1"/>
    <col min="271" max="271" width="1.7109375" style="65" customWidth="1"/>
    <col min="272" max="273" width="5.7109375" style="65" customWidth="1"/>
    <col min="274" max="274" width="1.7109375" style="65" customWidth="1"/>
    <col min="275" max="275" width="3.7109375" style="65" customWidth="1"/>
    <col min="276" max="276" width="7.7109375" style="65" customWidth="1"/>
    <col min="277" max="278" width="3.7109375" style="65" customWidth="1"/>
    <col min="279" max="279" width="8.28515625" style="65" customWidth="1"/>
    <col min="280" max="280" width="3.7109375" style="65" customWidth="1"/>
    <col min="281" max="281" width="8.28515625" style="65" customWidth="1"/>
    <col min="282" max="282" width="7.7109375" style="65" customWidth="1"/>
    <col min="283" max="283" width="3.7109375" style="65" customWidth="1"/>
    <col min="284" max="284" width="7.7109375" style="65" customWidth="1"/>
    <col min="285" max="285" width="2.7109375" style="65" customWidth="1"/>
    <col min="286" max="286" width="10.7109375" style="65" customWidth="1"/>
    <col min="287" max="287" width="1.7109375" style="65" customWidth="1"/>
    <col min="288" max="288" width="5.7109375" style="65" customWidth="1"/>
    <col min="289" max="512" width="9.140625" style="65"/>
    <col min="513" max="513" width="5.7109375" style="65" customWidth="1"/>
    <col min="514" max="514" width="1.7109375" style="65" customWidth="1"/>
    <col min="515" max="515" width="3.7109375" style="65" customWidth="1"/>
    <col min="516" max="516" width="7.7109375" style="65" customWidth="1"/>
    <col min="517" max="518" width="3.7109375" style="65" customWidth="1"/>
    <col min="519" max="519" width="8.28515625" style="65" customWidth="1"/>
    <col min="520" max="520" width="3.7109375" style="65" customWidth="1"/>
    <col min="521" max="521" width="8.28515625" style="65" customWidth="1"/>
    <col min="522" max="522" width="7.7109375" style="65" customWidth="1"/>
    <col min="523" max="523" width="3.7109375" style="65" customWidth="1"/>
    <col min="524" max="524" width="7.7109375" style="65" customWidth="1"/>
    <col min="525" max="525" width="2.7109375" style="65" customWidth="1"/>
    <col min="526" max="526" width="10.7109375" style="65" customWidth="1"/>
    <col min="527" max="527" width="1.7109375" style="65" customWidth="1"/>
    <col min="528" max="529" width="5.7109375" style="65" customWidth="1"/>
    <col min="530" max="530" width="1.7109375" style="65" customWidth="1"/>
    <col min="531" max="531" width="3.7109375" style="65" customWidth="1"/>
    <col min="532" max="532" width="7.7109375" style="65" customWidth="1"/>
    <col min="533" max="534" width="3.7109375" style="65" customWidth="1"/>
    <col min="535" max="535" width="8.28515625" style="65" customWidth="1"/>
    <col min="536" max="536" width="3.7109375" style="65" customWidth="1"/>
    <col min="537" max="537" width="8.28515625" style="65" customWidth="1"/>
    <col min="538" max="538" width="7.7109375" style="65" customWidth="1"/>
    <col min="539" max="539" width="3.7109375" style="65" customWidth="1"/>
    <col min="540" max="540" width="7.7109375" style="65" customWidth="1"/>
    <col min="541" max="541" width="2.7109375" style="65" customWidth="1"/>
    <col min="542" max="542" width="10.7109375" style="65" customWidth="1"/>
    <col min="543" max="543" width="1.7109375" style="65" customWidth="1"/>
    <col min="544" max="544" width="5.7109375" style="65" customWidth="1"/>
    <col min="545" max="768" width="9.140625" style="65"/>
    <col min="769" max="769" width="5.7109375" style="65" customWidth="1"/>
    <col min="770" max="770" width="1.7109375" style="65" customWidth="1"/>
    <col min="771" max="771" width="3.7109375" style="65" customWidth="1"/>
    <col min="772" max="772" width="7.7109375" style="65" customWidth="1"/>
    <col min="773" max="774" width="3.7109375" style="65" customWidth="1"/>
    <col min="775" max="775" width="8.28515625" style="65" customWidth="1"/>
    <col min="776" max="776" width="3.7109375" style="65" customWidth="1"/>
    <col min="777" max="777" width="8.28515625" style="65" customWidth="1"/>
    <col min="778" max="778" width="7.7109375" style="65" customWidth="1"/>
    <col min="779" max="779" width="3.7109375" style="65" customWidth="1"/>
    <col min="780" max="780" width="7.7109375" style="65" customWidth="1"/>
    <col min="781" max="781" width="2.7109375" style="65" customWidth="1"/>
    <col min="782" max="782" width="10.7109375" style="65" customWidth="1"/>
    <col min="783" max="783" width="1.7109375" style="65" customWidth="1"/>
    <col min="784" max="785" width="5.7109375" style="65" customWidth="1"/>
    <col min="786" max="786" width="1.7109375" style="65" customWidth="1"/>
    <col min="787" max="787" width="3.7109375" style="65" customWidth="1"/>
    <col min="788" max="788" width="7.7109375" style="65" customWidth="1"/>
    <col min="789" max="790" width="3.7109375" style="65" customWidth="1"/>
    <col min="791" max="791" width="8.28515625" style="65" customWidth="1"/>
    <col min="792" max="792" width="3.7109375" style="65" customWidth="1"/>
    <col min="793" max="793" width="8.28515625" style="65" customWidth="1"/>
    <col min="794" max="794" width="7.7109375" style="65" customWidth="1"/>
    <col min="795" max="795" width="3.7109375" style="65" customWidth="1"/>
    <col min="796" max="796" width="7.7109375" style="65" customWidth="1"/>
    <col min="797" max="797" width="2.7109375" style="65" customWidth="1"/>
    <col min="798" max="798" width="10.7109375" style="65" customWidth="1"/>
    <col min="799" max="799" width="1.7109375" style="65" customWidth="1"/>
    <col min="800" max="800" width="5.7109375" style="65" customWidth="1"/>
    <col min="801" max="1024" width="9.140625" style="65"/>
    <col min="1025" max="1025" width="5.7109375" style="65" customWidth="1"/>
    <col min="1026" max="1026" width="1.7109375" style="65" customWidth="1"/>
    <col min="1027" max="1027" width="3.7109375" style="65" customWidth="1"/>
    <col min="1028" max="1028" width="7.7109375" style="65" customWidth="1"/>
    <col min="1029" max="1030" width="3.7109375" style="65" customWidth="1"/>
    <col min="1031" max="1031" width="8.28515625" style="65" customWidth="1"/>
    <col min="1032" max="1032" width="3.7109375" style="65" customWidth="1"/>
    <col min="1033" max="1033" width="8.28515625" style="65" customWidth="1"/>
    <col min="1034" max="1034" width="7.7109375" style="65" customWidth="1"/>
    <col min="1035" max="1035" width="3.7109375" style="65" customWidth="1"/>
    <col min="1036" max="1036" width="7.7109375" style="65" customWidth="1"/>
    <col min="1037" max="1037" width="2.7109375" style="65" customWidth="1"/>
    <col min="1038" max="1038" width="10.7109375" style="65" customWidth="1"/>
    <col min="1039" max="1039" width="1.7109375" style="65" customWidth="1"/>
    <col min="1040" max="1041" width="5.7109375" style="65" customWidth="1"/>
    <col min="1042" max="1042" width="1.7109375" style="65" customWidth="1"/>
    <col min="1043" max="1043" width="3.7109375" style="65" customWidth="1"/>
    <col min="1044" max="1044" width="7.7109375" style="65" customWidth="1"/>
    <col min="1045" max="1046" width="3.7109375" style="65" customWidth="1"/>
    <col min="1047" max="1047" width="8.28515625" style="65" customWidth="1"/>
    <col min="1048" max="1048" width="3.7109375" style="65" customWidth="1"/>
    <col min="1049" max="1049" width="8.28515625" style="65" customWidth="1"/>
    <col min="1050" max="1050" width="7.7109375" style="65" customWidth="1"/>
    <col min="1051" max="1051" width="3.7109375" style="65" customWidth="1"/>
    <col min="1052" max="1052" width="7.7109375" style="65" customWidth="1"/>
    <col min="1053" max="1053" width="2.7109375" style="65" customWidth="1"/>
    <col min="1054" max="1054" width="10.7109375" style="65" customWidth="1"/>
    <col min="1055" max="1055" width="1.7109375" style="65" customWidth="1"/>
    <col min="1056" max="1056" width="5.7109375" style="65" customWidth="1"/>
    <col min="1057" max="1280" width="9.140625" style="65"/>
    <col min="1281" max="1281" width="5.7109375" style="65" customWidth="1"/>
    <col min="1282" max="1282" width="1.7109375" style="65" customWidth="1"/>
    <col min="1283" max="1283" width="3.7109375" style="65" customWidth="1"/>
    <col min="1284" max="1284" width="7.7109375" style="65" customWidth="1"/>
    <col min="1285" max="1286" width="3.7109375" style="65" customWidth="1"/>
    <col min="1287" max="1287" width="8.28515625" style="65" customWidth="1"/>
    <col min="1288" max="1288" width="3.7109375" style="65" customWidth="1"/>
    <col min="1289" max="1289" width="8.28515625" style="65" customWidth="1"/>
    <col min="1290" max="1290" width="7.7109375" style="65" customWidth="1"/>
    <col min="1291" max="1291" width="3.7109375" style="65" customWidth="1"/>
    <col min="1292" max="1292" width="7.7109375" style="65" customWidth="1"/>
    <col min="1293" max="1293" width="2.7109375" style="65" customWidth="1"/>
    <col min="1294" max="1294" width="10.7109375" style="65" customWidth="1"/>
    <col min="1295" max="1295" width="1.7109375" style="65" customWidth="1"/>
    <col min="1296" max="1297" width="5.7109375" style="65" customWidth="1"/>
    <col min="1298" max="1298" width="1.7109375" style="65" customWidth="1"/>
    <col min="1299" max="1299" width="3.7109375" style="65" customWidth="1"/>
    <col min="1300" max="1300" width="7.7109375" style="65" customWidth="1"/>
    <col min="1301" max="1302" width="3.7109375" style="65" customWidth="1"/>
    <col min="1303" max="1303" width="8.28515625" style="65" customWidth="1"/>
    <col min="1304" max="1304" width="3.7109375" style="65" customWidth="1"/>
    <col min="1305" max="1305" width="8.28515625" style="65" customWidth="1"/>
    <col min="1306" max="1306" width="7.7109375" style="65" customWidth="1"/>
    <col min="1307" max="1307" width="3.7109375" style="65" customWidth="1"/>
    <col min="1308" max="1308" width="7.7109375" style="65" customWidth="1"/>
    <col min="1309" max="1309" width="2.7109375" style="65" customWidth="1"/>
    <col min="1310" max="1310" width="10.7109375" style="65" customWidth="1"/>
    <col min="1311" max="1311" width="1.7109375" style="65" customWidth="1"/>
    <col min="1312" max="1312" width="5.7109375" style="65" customWidth="1"/>
    <col min="1313" max="1536" width="9.140625" style="65"/>
    <col min="1537" max="1537" width="5.7109375" style="65" customWidth="1"/>
    <col min="1538" max="1538" width="1.7109375" style="65" customWidth="1"/>
    <col min="1539" max="1539" width="3.7109375" style="65" customWidth="1"/>
    <col min="1540" max="1540" width="7.7109375" style="65" customWidth="1"/>
    <col min="1541" max="1542" width="3.7109375" style="65" customWidth="1"/>
    <col min="1543" max="1543" width="8.28515625" style="65" customWidth="1"/>
    <col min="1544" max="1544" width="3.7109375" style="65" customWidth="1"/>
    <col min="1545" max="1545" width="8.28515625" style="65" customWidth="1"/>
    <col min="1546" max="1546" width="7.7109375" style="65" customWidth="1"/>
    <col min="1547" max="1547" width="3.7109375" style="65" customWidth="1"/>
    <col min="1548" max="1548" width="7.7109375" style="65" customWidth="1"/>
    <col min="1549" max="1549" width="2.7109375" style="65" customWidth="1"/>
    <col min="1550" max="1550" width="10.7109375" style="65" customWidth="1"/>
    <col min="1551" max="1551" width="1.7109375" style="65" customWidth="1"/>
    <col min="1552" max="1553" width="5.7109375" style="65" customWidth="1"/>
    <col min="1554" max="1554" width="1.7109375" style="65" customWidth="1"/>
    <col min="1555" max="1555" width="3.7109375" style="65" customWidth="1"/>
    <col min="1556" max="1556" width="7.7109375" style="65" customWidth="1"/>
    <col min="1557" max="1558" width="3.7109375" style="65" customWidth="1"/>
    <col min="1559" max="1559" width="8.28515625" style="65" customWidth="1"/>
    <col min="1560" max="1560" width="3.7109375" style="65" customWidth="1"/>
    <col min="1561" max="1561" width="8.28515625" style="65" customWidth="1"/>
    <col min="1562" max="1562" width="7.7109375" style="65" customWidth="1"/>
    <col min="1563" max="1563" width="3.7109375" style="65" customWidth="1"/>
    <col min="1564" max="1564" width="7.7109375" style="65" customWidth="1"/>
    <col min="1565" max="1565" width="2.7109375" style="65" customWidth="1"/>
    <col min="1566" max="1566" width="10.7109375" style="65" customWidth="1"/>
    <col min="1567" max="1567" width="1.7109375" style="65" customWidth="1"/>
    <col min="1568" max="1568" width="5.7109375" style="65" customWidth="1"/>
    <col min="1569" max="1792" width="9.140625" style="65"/>
    <col min="1793" max="1793" width="5.7109375" style="65" customWidth="1"/>
    <col min="1794" max="1794" width="1.7109375" style="65" customWidth="1"/>
    <col min="1795" max="1795" width="3.7109375" style="65" customWidth="1"/>
    <col min="1796" max="1796" width="7.7109375" style="65" customWidth="1"/>
    <col min="1797" max="1798" width="3.7109375" style="65" customWidth="1"/>
    <col min="1799" max="1799" width="8.28515625" style="65" customWidth="1"/>
    <col min="1800" max="1800" width="3.7109375" style="65" customWidth="1"/>
    <col min="1801" max="1801" width="8.28515625" style="65" customWidth="1"/>
    <col min="1802" max="1802" width="7.7109375" style="65" customWidth="1"/>
    <col min="1803" max="1803" width="3.7109375" style="65" customWidth="1"/>
    <col min="1804" max="1804" width="7.7109375" style="65" customWidth="1"/>
    <col min="1805" max="1805" width="2.7109375" style="65" customWidth="1"/>
    <col min="1806" max="1806" width="10.7109375" style="65" customWidth="1"/>
    <col min="1807" max="1807" width="1.7109375" style="65" customWidth="1"/>
    <col min="1808" max="1809" width="5.7109375" style="65" customWidth="1"/>
    <col min="1810" max="1810" width="1.7109375" style="65" customWidth="1"/>
    <col min="1811" max="1811" width="3.7109375" style="65" customWidth="1"/>
    <col min="1812" max="1812" width="7.7109375" style="65" customWidth="1"/>
    <col min="1813" max="1814" width="3.7109375" style="65" customWidth="1"/>
    <col min="1815" max="1815" width="8.28515625" style="65" customWidth="1"/>
    <col min="1816" max="1816" width="3.7109375" style="65" customWidth="1"/>
    <col min="1817" max="1817" width="8.28515625" style="65" customWidth="1"/>
    <col min="1818" max="1818" width="7.7109375" style="65" customWidth="1"/>
    <col min="1819" max="1819" width="3.7109375" style="65" customWidth="1"/>
    <col min="1820" max="1820" width="7.7109375" style="65" customWidth="1"/>
    <col min="1821" max="1821" width="2.7109375" style="65" customWidth="1"/>
    <col min="1822" max="1822" width="10.7109375" style="65" customWidth="1"/>
    <col min="1823" max="1823" width="1.7109375" style="65" customWidth="1"/>
    <col min="1824" max="1824" width="5.7109375" style="65" customWidth="1"/>
    <col min="1825" max="2048" width="9.140625" style="65"/>
    <col min="2049" max="2049" width="5.7109375" style="65" customWidth="1"/>
    <col min="2050" max="2050" width="1.7109375" style="65" customWidth="1"/>
    <col min="2051" max="2051" width="3.7109375" style="65" customWidth="1"/>
    <col min="2052" max="2052" width="7.7109375" style="65" customWidth="1"/>
    <col min="2053" max="2054" width="3.7109375" style="65" customWidth="1"/>
    <col min="2055" max="2055" width="8.28515625" style="65" customWidth="1"/>
    <col min="2056" max="2056" width="3.7109375" style="65" customWidth="1"/>
    <col min="2057" max="2057" width="8.28515625" style="65" customWidth="1"/>
    <col min="2058" max="2058" width="7.7109375" style="65" customWidth="1"/>
    <col min="2059" max="2059" width="3.7109375" style="65" customWidth="1"/>
    <col min="2060" max="2060" width="7.7109375" style="65" customWidth="1"/>
    <col min="2061" max="2061" width="2.7109375" style="65" customWidth="1"/>
    <col min="2062" max="2062" width="10.7109375" style="65" customWidth="1"/>
    <col min="2063" max="2063" width="1.7109375" style="65" customWidth="1"/>
    <col min="2064" max="2065" width="5.7109375" style="65" customWidth="1"/>
    <col min="2066" max="2066" width="1.7109375" style="65" customWidth="1"/>
    <col min="2067" max="2067" width="3.7109375" style="65" customWidth="1"/>
    <col min="2068" max="2068" width="7.7109375" style="65" customWidth="1"/>
    <col min="2069" max="2070" width="3.7109375" style="65" customWidth="1"/>
    <col min="2071" max="2071" width="8.28515625" style="65" customWidth="1"/>
    <col min="2072" max="2072" width="3.7109375" style="65" customWidth="1"/>
    <col min="2073" max="2073" width="8.28515625" style="65" customWidth="1"/>
    <col min="2074" max="2074" width="7.7109375" style="65" customWidth="1"/>
    <col min="2075" max="2075" width="3.7109375" style="65" customWidth="1"/>
    <col min="2076" max="2076" width="7.7109375" style="65" customWidth="1"/>
    <col min="2077" max="2077" width="2.7109375" style="65" customWidth="1"/>
    <col min="2078" max="2078" width="10.7109375" style="65" customWidth="1"/>
    <col min="2079" max="2079" width="1.7109375" style="65" customWidth="1"/>
    <col min="2080" max="2080" width="5.7109375" style="65" customWidth="1"/>
    <col min="2081" max="2304" width="9.140625" style="65"/>
    <col min="2305" max="2305" width="5.7109375" style="65" customWidth="1"/>
    <col min="2306" max="2306" width="1.7109375" style="65" customWidth="1"/>
    <col min="2307" max="2307" width="3.7109375" style="65" customWidth="1"/>
    <col min="2308" max="2308" width="7.7109375" style="65" customWidth="1"/>
    <col min="2309" max="2310" width="3.7109375" style="65" customWidth="1"/>
    <col min="2311" max="2311" width="8.28515625" style="65" customWidth="1"/>
    <col min="2312" max="2312" width="3.7109375" style="65" customWidth="1"/>
    <col min="2313" max="2313" width="8.28515625" style="65" customWidth="1"/>
    <col min="2314" max="2314" width="7.7109375" style="65" customWidth="1"/>
    <col min="2315" max="2315" width="3.7109375" style="65" customWidth="1"/>
    <col min="2316" max="2316" width="7.7109375" style="65" customWidth="1"/>
    <col min="2317" max="2317" width="2.7109375" style="65" customWidth="1"/>
    <col min="2318" max="2318" width="10.7109375" style="65" customWidth="1"/>
    <col min="2319" max="2319" width="1.7109375" style="65" customWidth="1"/>
    <col min="2320" max="2321" width="5.7109375" style="65" customWidth="1"/>
    <col min="2322" max="2322" width="1.7109375" style="65" customWidth="1"/>
    <col min="2323" max="2323" width="3.7109375" style="65" customWidth="1"/>
    <col min="2324" max="2324" width="7.7109375" style="65" customWidth="1"/>
    <col min="2325" max="2326" width="3.7109375" style="65" customWidth="1"/>
    <col min="2327" max="2327" width="8.28515625" style="65" customWidth="1"/>
    <col min="2328" max="2328" width="3.7109375" style="65" customWidth="1"/>
    <col min="2329" max="2329" width="8.28515625" style="65" customWidth="1"/>
    <col min="2330" max="2330" width="7.7109375" style="65" customWidth="1"/>
    <col min="2331" max="2331" width="3.7109375" style="65" customWidth="1"/>
    <col min="2332" max="2332" width="7.7109375" style="65" customWidth="1"/>
    <col min="2333" max="2333" width="2.7109375" style="65" customWidth="1"/>
    <col min="2334" max="2334" width="10.7109375" style="65" customWidth="1"/>
    <col min="2335" max="2335" width="1.7109375" style="65" customWidth="1"/>
    <col min="2336" max="2336" width="5.7109375" style="65" customWidth="1"/>
    <col min="2337" max="2560" width="9.140625" style="65"/>
    <col min="2561" max="2561" width="5.7109375" style="65" customWidth="1"/>
    <col min="2562" max="2562" width="1.7109375" style="65" customWidth="1"/>
    <col min="2563" max="2563" width="3.7109375" style="65" customWidth="1"/>
    <col min="2564" max="2564" width="7.7109375" style="65" customWidth="1"/>
    <col min="2565" max="2566" width="3.7109375" style="65" customWidth="1"/>
    <col min="2567" max="2567" width="8.28515625" style="65" customWidth="1"/>
    <col min="2568" max="2568" width="3.7109375" style="65" customWidth="1"/>
    <col min="2569" max="2569" width="8.28515625" style="65" customWidth="1"/>
    <col min="2570" max="2570" width="7.7109375" style="65" customWidth="1"/>
    <col min="2571" max="2571" width="3.7109375" style="65" customWidth="1"/>
    <col min="2572" max="2572" width="7.7109375" style="65" customWidth="1"/>
    <col min="2573" max="2573" width="2.7109375" style="65" customWidth="1"/>
    <col min="2574" max="2574" width="10.7109375" style="65" customWidth="1"/>
    <col min="2575" max="2575" width="1.7109375" style="65" customWidth="1"/>
    <col min="2576" max="2577" width="5.7109375" style="65" customWidth="1"/>
    <col min="2578" max="2578" width="1.7109375" style="65" customWidth="1"/>
    <col min="2579" max="2579" width="3.7109375" style="65" customWidth="1"/>
    <col min="2580" max="2580" width="7.7109375" style="65" customWidth="1"/>
    <col min="2581" max="2582" width="3.7109375" style="65" customWidth="1"/>
    <col min="2583" max="2583" width="8.28515625" style="65" customWidth="1"/>
    <col min="2584" max="2584" width="3.7109375" style="65" customWidth="1"/>
    <col min="2585" max="2585" width="8.28515625" style="65" customWidth="1"/>
    <col min="2586" max="2586" width="7.7109375" style="65" customWidth="1"/>
    <col min="2587" max="2587" width="3.7109375" style="65" customWidth="1"/>
    <col min="2588" max="2588" width="7.7109375" style="65" customWidth="1"/>
    <col min="2589" max="2589" width="2.7109375" style="65" customWidth="1"/>
    <col min="2590" max="2590" width="10.7109375" style="65" customWidth="1"/>
    <col min="2591" max="2591" width="1.7109375" style="65" customWidth="1"/>
    <col min="2592" max="2592" width="5.7109375" style="65" customWidth="1"/>
    <col min="2593" max="2816" width="9.140625" style="65"/>
    <col min="2817" max="2817" width="5.7109375" style="65" customWidth="1"/>
    <col min="2818" max="2818" width="1.7109375" style="65" customWidth="1"/>
    <col min="2819" max="2819" width="3.7109375" style="65" customWidth="1"/>
    <col min="2820" max="2820" width="7.7109375" style="65" customWidth="1"/>
    <col min="2821" max="2822" width="3.7109375" style="65" customWidth="1"/>
    <col min="2823" max="2823" width="8.28515625" style="65" customWidth="1"/>
    <col min="2824" max="2824" width="3.7109375" style="65" customWidth="1"/>
    <col min="2825" max="2825" width="8.28515625" style="65" customWidth="1"/>
    <col min="2826" max="2826" width="7.7109375" style="65" customWidth="1"/>
    <col min="2827" max="2827" width="3.7109375" style="65" customWidth="1"/>
    <col min="2828" max="2828" width="7.7109375" style="65" customWidth="1"/>
    <col min="2829" max="2829" width="2.7109375" style="65" customWidth="1"/>
    <col min="2830" max="2830" width="10.7109375" style="65" customWidth="1"/>
    <col min="2831" max="2831" width="1.7109375" style="65" customWidth="1"/>
    <col min="2832" max="2833" width="5.7109375" style="65" customWidth="1"/>
    <col min="2834" max="2834" width="1.7109375" style="65" customWidth="1"/>
    <col min="2835" max="2835" width="3.7109375" style="65" customWidth="1"/>
    <col min="2836" max="2836" width="7.7109375" style="65" customWidth="1"/>
    <col min="2837" max="2838" width="3.7109375" style="65" customWidth="1"/>
    <col min="2839" max="2839" width="8.28515625" style="65" customWidth="1"/>
    <col min="2840" max="2840" width="3.7109375" style="65" customWidth="1"/>
    <col min="2841" max="2841" width="8.28515625" style="65" customWidth="1"/>
    <col min="2842" max="2842" width="7.7109375" style="65" customWidth="1"/>
    <col min="2843" max="2843" width="3.7109375" style="65" customWidth="1"/>
    <col min="2844" max="2844" width="7.7109375" style="65" customWidth="1"/>
    <col min="2845" max="2845" width="2.7109375" style="65" customWidth="1"/>
    <col min="2846" max="2846" width="10.7109375" style="65" customWidth="1"/>
    <col min="2847" max="2847" width="1.7109375" style="65" customWidth="1"/>
    <col min="2848" max="2848" width="5.7109375" style="65" customWidth="1"/>
    <col min="2849" max="3072" width="9.140625" style="65"/>
    <col min="3073" max="3073" width="5.7109375" style="65" customWidth="1"/>
    <col min="3074" max="3074" width="1.7109375" style="65" customWidth="1"/>
    <col min="3075" max="3075" width="3.7109375" style="65" customWidth="1"/>
    <col min="3076" max="3076" width="7.7109375" style="65" customWidth="1"/>
    <col min="3077" max="3078" width="3.7109375" style="65" customWidth="1"/>
    <col min="3079" max="3079" width="8.28515625" style="65" customWidth="1"/>
    <col min="3080" max="3080" width="3.7109375" style="65" customWidth="1"/>
    <col min="3081" max="3081" width="8.28515625" style="65" customWidth="1"/>
    <col min="3082" max="3082" width="7.7109375" style="65" customWidth="1"/>
    <col min="3083" max="3083" width="3.7109375" style="65" customWidth="1"/>
    <col min="3084" max="3084" width="7.7109375" style="65" customWidth="1"/>
    <col min="3085" max="3085" width="2.7109375" style="65" customWidth="1"/>
    <col min="3086" max="3086" width="10.7109375" style="65" customWidth="1"/>
    <col min="3087" max="3087" width="1.7109375" style="65" customWidth="1"/>
    <col min="3088" max="3089" width="5.7109375" style="65" customWidth="1"/>
    <col min="3090" max="3090" width="1.7109375" style="65" customWidth="1"/>
    <col min="3091" max="3091" width="3.7109375" style="65" customWidth="1"/>
    <col min="3092" max="3092" width="7.7109375" style="65" customWidth="1"/>
    <col min="3093" max="3094" width="3.7109375" style="65" customWidth="1"/>
    <col min="3095" max="3095" width="8.28515625" style="65" customWidth="1"/>
    <col min="3096" max="3096" width="3.7109375" style="65" customWidth="1"/>
    <col min="3097" max="3097" width="8.28515625" style="65" customWidth="1"/>
    <col min="3098" max="3098" width="7.7109375" style="65" customWidth="1"/>
    <col min="3099" max="3099" width="3.7109375" style="65" customWidth="1"/>
    <col min="3100" max="3100" width="7.7109375" style="65" customWidth="1"/>
    <col min="3101" max="3101" width="2.7109375" style="65" customWidth="1"/>
    <col min="3102" max="3102" width="10.7109375" style="65" customWidth="1"/>
    <col min="3103" max="3103" width="1.7109375" style="65" customWidth="1"/>
    <col min="3104" max="3104" width="5.7109375" style="65" customWidth="1"/>
    <col min="3105" max="3328" width="9.140625" style="65"/>
    <col min="3329" max="3329" width="5.7109375" style="65" customWidth="1"/>
    <col min="3330" max="3330" width="1.7109375" style="65" customWidth="1"/>
    <col min="3331" max="3331" width="3.7109375" style="65" customWidth="1"/>
    <col min="3332" max="3332" width="7.7109375" style="65" customWidth="1"/>
    <col min="3333" max="3334" width="3.7109375" style="65" customWidth="1"/>
    <col min="3335" max="3335" width="8.28515625" style="65" customWidth="1"/>
    <col min="3336" max="3336" width="3.7109375" style="65" customWidth="1"/>
    <col min="3337" max="3337" width="8.28515625" style="65" customWidth="1"/>
    <col min="3338" max="3338" width="7.7109375" style="65" customWidth="1"/>
    <col min="3339" max="3339" width="3.7109375" style="65" customWidth="1"/>
    <col min="3340" max="3340" width="7.7109375" style="65" customWidth="1"/>
    <col min="3341" max="3341" width="2.7109375" style="65" customWidth="1"/>
    <col min="3342" max="3342" width="10.7109375" style="65" customWidth="1"/>
    <col min="3343" max="3343" width="1.7109375" style="65" customWidth="1"/>
    <col min="3344" max="3345" width="5.7109375" style="65" customWidth="1"/>
    <col min="3346" max="3346" width="1.7109375" style="65" customWidth="1"/>
    <col min="3347" max="3347" width="3.7109375" style="65" customWidth="1"/>
    <col min="3348" max="3348" width="7.7109375" style="65" customWidth="1"/>
    <col min="3349" max="3350" width="3.7109375" style="65" customWidth="1"/>
    <col min="3351" max="3351" width="8.28515625" style="65" customWidth="1"/>
    <col min="3352" max="3352" width="3.7109375" style="65" customWidth="1"/>
    <col min="3353" max="3353" width="8.28515625" style="65" customWidth="1"/>
    <col min="3354" max="3354" width="7.7109375" style="65" customWidth="1"/>
    <col min="3355" max="3355" width="3.7109375" style="65" customWidth="1"/>
    <col min="3356" max="3356" width="7.7109375" style="65" customWidth="1"/>
    <col min="3357" max="3357" width="2.7109375" style="65" customWidth="1"/>
    <col min="3358" max="3358" width="10.7109375" style="65" customWidth="1"/>
    <col min="3359" max="3359" width="1.7109375" style="65" customWidth="1"/>
    <col min="3360" max="3360" width="5.7109375" style="65" customWidth="1"/>
    <col min="3361" max="3584" width="9.140625" style="65"/>
    <col min="3585" max="3585" width="5.7109375" style="65" customWidth="1"/>
    <col min="3586" max="3586" width="1.7109375" style="65" customWidth="1"/>
    <col min="3587" max="3587" width="3.7109375" style="65" customWidth="1"/>
    <col min="3588" max="3588" width="7.7109375" style="65" customWidth="1"/>
    <col min="3589" max="3590" width="3.7109375" style="65" customWidth="1"/>
    <col min="3591" max="3591" width="8.28515625" style="65" customWidth="1"/>
    <col min="3592" max="3592" width="3.7109375" style="65" customWidth="1"/>
    <col min="3593" max="3593" width="8.28515625" style="65" customWidth="1"/>
    <col min="3594" max="3594" width="7.7109375" style="65" customWidth="1"/>
    <col min="3595" max="3595" width="3.7109375" style="65" customWidth="1"/>
    <col min="3596" max="3596" width="7.7109375" style="65" customWidth="1"/>
    <col min="3597" max="3597" width="2.7109375" style="65" customWidth="1"/>
    <col min="3598" max="3598" width="10.7109375" style="65" customWidth="1"/>
    <col min="3599" max="3599" width="1.7109375" style="65" customWidth="1"/>
    <col min="3600" max="3601" width="5.7109375" style="65" customWidth="1"/>
    <col min="3602" max="3602" width="1.7109375" style="65" customWidth="1"/>
    <col min="3603" max="3603" width="3.7109375" style="65" customWidth="1"/>
    <col min="3604" max="3604" width="7.7109375" style="65" customWidth="1"/>
    <col min="3605" max="3606" width="3.7109375" style="65" customWidth="1"/>
    <col min="3607" max="3607" width="8.28515625" style="65" customWidth="1"/>
    <col min="3608" max="3608" width="3.7109375" style="65" customWidth="1"/>
    <col min="3609" max="3609" width="8.28515625" style="65" customWidth="1"/>
    <col min="3610" max="3610" width="7.7109375" style="65" customWidth="1"/>
    <col min="3611" max="3611" width="3.7109375" style="65" customWidth="1"/>
    <col min="3612" max="3612" width="7.7109375" style="65" customWidth="1"/>
    <col min="3613" max="3613" width="2.7109375" style="65" customWidth="1"/>
    <col min="3614" max="3614" width="10.7109375" style="65" customWidth="1"/>
    <col min="3615" max="3615" width="1.7109375" style="65" customWidth="1"/>
    <col min="3616" max="3616" width="5.7109375" style="65" customWidth="1"/>
    <col min="3617" max="3840" width="9.140625" style="65"/>
    <col min="3841" max="3841" width="5.7109375" style="65" customWidth="1"/>
    <col min="3842" max="3842" width="1.7109375" style="65" customWidth="1"/>
    <col min="3843" max="3843" width="3.7109375" style="65" customWidth="1"/>
    <col min="3844" max="3844" width="7.7109375" style="65" customWidth="1"/>
    <col min="3845" max="3846" width="3.7109375" style="65" customWidth="1"/>
    <col min="3847" max="3847" width="8.28515625" style="65" customWidth="1"/>
    <col min="3848" max="3848" width="3.7109375" style="65" customWidth="1"/>
    <col min="3849" max="3849" width="8.28515625" style="65" customWidth="1"/>
    <col min="3850" max="3850" width="7.7109375" style="65" customWidth="1"/>
    <col min="3851" max="3851" width="3.7109375" style="65" customWidth="1"/>
    <col min="3852" max="3852" width="7.7109375" style="65" customWidth="1"/>
    <col min="3853" max="3853" width="2.7109375" style="65" customWidth="1"/>
    <col min="3854" max="3854" width="10.7109375" style="65" customWidth="1"/>
    <col min="3855" max="3855" width="1.7109375" style="65" customWidth="1"/>
    <col min="3856" max="3857" width="5.7109375" style="65" customWidth="1"/>
    <col min="3858" max="3858" width="1.7109375" style="65" customWidth="1"/>
    <col min="3859" max="3859" width="3.7109375" style="65" customWidth="1"/>
    <col min="3860" max="3860" width="7.7109375" style="65" customWidth="1"/>
    <col min="3861" max="3862" width="3.7109375" style="65" customWidth="1"/>
    <col min="3863" max="3863" width="8.28515625" style="65" customWidth="1"/>
    <col min="3864" max="3864" width="3.7109375" style="65" customWidth="1"/>
    <col min="3865" max="3865" width="8.28515625" style="65" customWidth="1"/>
    <col min="3866" max="3866" width="7.7109375" style="65" customWidth="1"/>
    <col min="3867" max="3867" width="3.7109375" style="65" customWidth="1"/>
    <col min="3868" max="3868" width="7.7109375" style="65" customWidth="1"/>
    <col min="3869" max="3869" width="2.7109375" style="65" customWidth="1"/>
    <col min="3870" max="3870" width="10.7109375" style="65" customWidth="1"/>
    <col min="3871" max="3871" width="1.7109375" style="65" customWidth="1"/>
    <col min="3872" max="3872" width="5.7109375" style="65" customWidth="1"/>
    <col min="3873" max="4096" width="9.140625" style="65"/>
    <col min="4097" max="4097" width="5.7109375" style="65" customWidth="1"/>
    <col min="4098" max="4098" width="1.7109375" style="65" customWidth="1"/>
    <col min="4099" max="4099" width="3.7109375" style="65" customWidth="1"/>
    <col min="4100" max="4100" width="7.7109375" style="65" customWidth="1"/>
    <col min="4101" max="4102" width="3.7109375" style="65" customWidth="1"/>
    <col min="4103" max="4103" width="8.28515625" style="65" customWidth="1"/>
    <col min="4104" max="4104" width="3.7109375" style="65" customWidth="1"/>
    <col min="4105" max="4105" width="8.28515625" style="65" customWidth="1"/>
    <col min="4106" max="4106" width="7.7109375" style="65" customWidth="1"/>
    <col min="4107" max="4107" width="3.7109375" style="65" customWidth="1"/>
    <col min="4108" max="4108" width="7.7109375" style="65" customWidth="1"/>
    <col min="4109" max="4109" width="2.7109375" style="65" customWidth="1"/>
    <col min="4110" max="4110" width="10.7109375" style="65" customWidth="1"/>
    <col min="4111" max="4111" width="1.7109375" style="65" customWidth="1"/>
    <col min="4112" max="4113" width="5.7109375" style="65" customWidth="1"/>
    <col min="4114" max="4114" width="1.7109375" style="65" customWidth="1"/>
    <col min="4115" max="4115" width="3.7109375" style="65" customWidth="1"/>
    <col min="4116" max="4116" width="7.7109375" style="65" customWidth="1"/>
    <col min="4117" max="4118" width="3.7109375" style="65" customWidth="1"/>
    <col min="4119" max="4119" width="8.28515625" style="65" customWidth="1"/>
    <col min="4120" max="4120" width="3.7109375" style="65" customWidth="1"/>
    <col min="4121" max="4121" width="8.28515625" style="65" customWidth="1"/>
    <col min="4122" max="4122" width="7.7109375" style="65" customWidth="1"/>
    <col min="4123" max="4123" width="3.7109375" style="65" customWidth="1"/>
    <col min="4124" max="4124" width="7.7109375" style="65" customWidth="1"/>
    <col min="4125" max="4125" width="2.7109375" style="65" customWidth="1"/>
    <col min="4126" max="4126" width="10.7109375" style="65" customWidth="1"/>
    <col min="4127" max="4127" width="1.7109375" style="65" customWidth="1"/>
    <col min="4128" max="4128" width="5.7109375" style="65" customWidth="1"/>
    <col min="4129" max="4352" width="9.140625" style="65"/>
    <col min="4353" max="4353" width="5.7109375" style="65" customWidth="1"/>
    <col min="4354" max="4354" width="1.7109375" style="65" customWidth="1"/>
    <col min="4355" max="4355" width="3.7109375" style="65" customWidth="1"/>
    <col min="4356" max="4356" width="7.7109375" style="65" customWidth="1"/>
    <col min="4357" max="4358" width="3.7109375" style="65" customWidth="1"/>
    <col min="4359" max="4359" width="8.28515625" style="65" customWidth="1"/>
    <col min="4360" max="4360" width="3.7109375" style="65" customWidth="1"/>
    <col min="4361" max="4361" width="8.28515625" style="65" customWidth="1"/>
    <col min="4362" max="4362" width="7.7109375" style="65" customWidth="1"/>
    <col min="4363" max="4363" width="3.7109375" style="65" customWidth="1"/>
    <col min="4364" max="4364" width="7.7109375" style="65" customWidth="1"/>
    <col min="4365" max="4365" width="2.7109375" style="65" customWidth="1"/>
    <col min="4366" max="4366" width="10.7109375" style="65" customWidth="1"/>
    <col min="4367" max="4367" width="1.7109375" style="65" customWidth="1"/>
    <col min="4368" max="4369" width="5.7109375" style="65" customWidth="1"/>
    <col min="4370" max="4370" width="1.7109375" style="65" customWidth="1"/>
    <col min="4371" max="4371" width="3.7109375" style="65" customWidth="1"/>
    <col min="4372" max="4372" width="7.7109375" style="65" customWidth="1"/>
    <col min="4373" max="4374" width="3.7109375" style="65" customWidth="1"/>
    <col min="4375" max="4375" width="8.28515625" style="65" customWidth="1"/>
    <col min="4376" max="4376" width="3.7109375" style="65" customWidth="1"/>
    <col min="4377" max="4377" width="8.28515625" style="65" customWidth="1"/>
    <col min="4378" max="4378" width="7.7109375" style="65" customWidth="1"/>
    <col min="4379" max="4379" width="3.7109375" style="65" customWidth="1"/>
    <col min="4380" max="4380" width="7.7109375" style="65" customWidth="1"/>
    <col min="4381" max="4381" width="2.7109375" style="65" customWidth="1"/>
    <col min="4382" max="4382" width="10.7109375" style="65" customWidth="1"/>
    <col min="4383" max="4383" width="1.7109375" style="65" customWidth="1"/>
    <col min="4384" max="4384" width="5.7109375" style="65" customWidth="1"/>
    <col min="4385" max="4608" width="9.140625" style="65"/>
    <col min="4609" max="4609" width="5.7109375" style="65" customWidth="1"/>
    <col min="4610" max="4610" width="1.7109375" style="65" customWidth="1"/>
    <col min="4611" max="4611" width="3.7109375" style="65" customWidth="1"/>
    <col min="4612" max="4612" width="7.7109375" style="65" customWidth="1"/>
    <col min="4613" max="4614" width="3.7109375" style="65" customWidth="1"/>
    <col min="4615" max="4615" width="8.28515625" style="65" customWidth="1"/>
    <col min="4616" max="4616" width="3.7109375" style="65" customWidth="1"/>
    <col min="4617" max="4617" width="8.28515625" style="65" customWidth="1"/>
    <col min="4618" max="4618" width="7.7109375" style="65" customWidth="1"/>
    <col min="4619" max="4619" width="3.7109375" style="65" customWidth="1"/>
    <col min="4620" max="4620" width="7.7109375" style="65" customWidth="1"/>
    <col min="4621" max="4621" width="2.7109375" style="65" customWidth="1"/>
    <col min="4622" max="4622" width="10.7109375" style="65" customWidth="1"/>
    <col min="4623" max="4623" width="1.7109375" style="65" customWidth="1"/>
    <col min="4624" max="4625" width="5.7109375" style="65" customWidth="1"/>
    <col min="4626" max="4626" width="1.7109375" style="65" customWidth="1"/>
    <col min="4627" max="4627" width="3.7109375" style="65" customWidth="1"/>
    <col min="4628" max="4628" width="7.7109375" style="65" customWidth="1"/>
    <col min="4629" max="4630" width="3.7109375" style="65" customWidth="1"/>
    <col min="4631" max="4631" width="8.28515625" style="65" customWidth="1"/>
    <col min="4632" max="4632" width="3.7109375" style="65" customWidth="1"/>
    <col min="4633" max="4633" width="8.28515625" style="65" customWidth="1"/>
    <col min="4634" max="4634" width="7.7109375" style="65" customWidth="1"/>
    <col min="4635" max="4635" width="3.7109375" style="65" customWidth="1"/>
    <col min="4636" max="4636" width="7.7109375" style="65" customWidth="1"/>
    <col min="4637" max="4637" width="2.7109375" style="65" customWidth="1"/>
    <col min="4638" max="4638" width="10.7109375" style="65" customWidth="1"/>
    <col min="4639" max="4639" width="1.7109375" style="65" customWidth="1"/>
    <col min="4640" max="4640" width="5.7109375" style="65" customWidth="1"/>
    <col min="4641" max="4864" width="9.140625" style="65"/>
    <col min="4865" max="4865" width="5.7109375" style="65" customWidth="1"/>
    <col min="4866" max="4866" width="1.7109375" style="65" customWidth="1"/>
    <col min="4867" max="4867" width="3.7109375" style="65" customWidth="1"/>
    <col min="4868" max="4868" width="7.7109375" style="65" customWidth="1"/>
    <col min="4869" max="4870" width="3.7109375" style="65" customWidth="1"/>
    <col min="4871" max="4871" width="8.28515625" style="65" customWidth="1"/>
    <col min="4872" max="4872" width="3.7109375" style="65" customWidth="1"/>
    <col min="4873" max="4873" width="8.28515625" style="65" customWidth="1"/>
    <col min="4874" max="4874" width="7.7109375" style="65" customWidth="1"/>
    <col min="4875" max="4875" width="3.7109375" style="65" customWidth="1"/>
    <col min="4876" max="4876" width="7.7109375" style="65" customWidth="1"/>
    <col min="4877" max="4877" width="2.7109375" style="65" customWidth="1"/>
    <col min="4878" max="4878" width="10.7109375" style="65" customWidth="1"/>
    <col min="4879" max="4879" width="1.7109375" style="65" customWidth="1"/>
    <col min="4880" max="4881" width="5.7109375" style="65" customWidth="1"/>
    <col min="4882" max="4882" width="1.7109375" style="65" customWidth="1"/>
    <col min="4883" max="4883" width="3.7109375" style="65" customWidth="1"/>
    <col min="4884" max="4884" width="7.7109375" style="65" customWidth="1"/>
    <col min="4885" max="4886" width="3.7109375" style="65" customWidth="1"/>
    <col min="4887" max="4887" width="8.28515625" style="65" customWidth="1"/>
    <col min="4888" max="4888" width="3.7109375" style="65" customWidth="1"/>
    <col min="4889" max="4889" width="8.28515625" style="65" customWidth="1"/>
    <col min="4890" max="4890" width="7.7109375" style="65" customWidth="1"/>
    <col min="4891" max="4891" width="3.7109375" style="65" customWidth="1"/>
    <col min="4892" max="4892" width="7.7109375" style="65" customWidth="1"/>
    <col min="4893" max="4893" width="2.7109375" style="65" customWidth="1"/>
    <col min="4894" max="4894" width="10.7109375" style="65" customWidth="1"/>
    <col min="4895" max="4895" width="1.7109375" style="65" customWidth="1"/>
    <col min="4896" max="4896" width="5.7109375" style="65" customWidth="1"/>
    <col min="4897" max="5120" width="9.140625" style="65"/>
    <col min="5121" max="5121" width="5.7109375" style="65" customWidth="1"/>
    <col min="5122" max="5122" width="1.7109375" style="65" customWidth="1"/>
    <col min="5123" max="5123" width="3.7109375" style="65" customWidth="1"/>
    <col min="5124" max="5124" width="7.7109375" style="65" customWidth="1"/>
    <col min="5125" max="5126" width="3.7109375" style="65" customWidth="1"/>
    <col min="5127" max="5127" width="8.28515625" style="65" customWidth="1"/>
    <col min="5128" max="5128" width="3.7109375" style="65" customWidth="1"/>
    <col min="5129" max="5129" width="8.28515625" style="65" customWidth="1"/>
    <col min="5130" max="5130" width="7.7109375" style="65" customWidth="1"/>
    <col min="5131" max="5131" width="3.7109375" style="65" customWidth="1"/>
    <col min="5132" max="5132" width="7.7109375" style="65" customWidth="1"/>
    <col min="5133" max="5133" width="2.7109375" style="65" customWidth="1"/>
    <col min="5134" max="5134" width="10.7109375" style="65" customWidth="1"/>
    <col min="5135" max="5135" width="1.7109375" style="65" customWidth="1"/>
    <col min="5136" max="5137" width="5.7109375" style="65" customWidth="1"/>
    <col min="5138" max="5138" width="1.7109375" style="65" customWidth="1"/>
    <col min="5139" max="5139" width="3.7109375" style="65" customWidth="1"/>
    <col min="5140" max="5140" width="7.7109375" style="65" customWidth="1"/>
    <col min="5141" max="5142" width="3.7109375" style="65" customWidth="1"/>
    <col min="5143" max="5143" width="8.28515625" style="65" customWidth="1"/>
    <col min="5144" max="5144" width="3.7109375" style="65" customWidth="1"/>
    <col min="5145" max="5145" width="8.28515625" style="65" customWidth="1"/>
    <col min="5146" max="5146" width="7.7109375" style="65" customWidth="1"/>
    <col min="5147" max="5147" width="3.7109375" style="65" customWidth="1"/>
    <col min="5148" max="5148" width="7.7109375" style="65" customWidth="1"/>
    <col min="5149" max="5149" width="2.7109375" style="65" customWidth="1"/>
    <col min="5150" max="5150" width="10.7109375" style="65" customWidth="1"/>
    <col min="5151" max="5151" width="1.7109375" style="65" customWidth="1"/>
    <col min="5152" max="5152" width="5.7109375" style="65" customWidth="1"/>
    <col min="5153" max="5376" width="9.140625" style="65"/>
    <col min="5377" max="5377" width="5.7109375" style="65" customWidth="1"/>
    <col min="5378" max="5378" width="1.7109375" style="65" customWidth="1"/>
    <col min="5379" max="5379" width="3.7109375" style="65" customWidth="1"/>
    <col min="5380" max="5380" width="7.7109375" style="65" customWidth="1"/>
    <col min="5381" max="5382" width="3.7109375" style="65" customWidth="1"/>
    <col min="5383" max="5383" width="8.28515625" style="65" customWidth="1"/>
    <col min="5384" max="5384" width="3.7109375" style="65" customWidth="1"/>
    <col min="5385" max="5385" width="8.28515625" style="65" customWidth="1"/>
    <col min="5386" max="5386" width="7.7109375" style="65" customWidth="1"/>
    <col min="5387" max="5387" width="3.7109375" style="65" customWidth="1"/>
    <col min="5388" max="5388" width="7.7109375" style="65" customWidth="1"/>
    <col min="5389" max="5389" width="2.7109375" style="65" customWidth="1"/>
    <col min="5390" max="5390" width="10.7109375" style="65" customWidth="1"/>
    <col min="5391" max="5391" width="1.7109375" style="65" customWidth="1"/>
    <col min="5392" max="5393" width="5.7109375" style="65" customWidth="1"/>
    <col min="5394" max="5394" width="1.7109375" style="65" customWidth="1"/>
    <col min="5395" max="5395" width="3.7109375" style="65" customWidth="1"/>
    <col min="5396" max="5396" width="7.7109375" style="65" customWidth="1"/>
    <col min="5397" max="5398" width="3.7109375" style="65" customWidth="1"/>
    <col min="5399" max="5399" width="8.28515625" style="65" customWidth="1"/>
    <col min="5400" max="5400" width="3.7109375" style="65" customWidth="1"/>
    <col min="5401" max="5401" width="8.28515625" style="65" customWidth="1"/>
    <col min="5402" max="5402" width="7.7109375" style="65" customWidth="1"/>
    <col min="5403" max="5403" width="3.7109375" style="65" customWidth="1"/>
    <col min="5404" max="5404" width="7.7109375" style="65" customWidth="1"/>
    <col min="5405" max="5405" width="2.7109375" style="65" customWidth="1"/>
    <col min="5406" max="5406" width="10.7109375" style="65" customWidth="1"/>
    <col min="5407" max="5407" width="1.7109375" style="65" customWidth="1"/>
    <col min="5408" max="5408" width="5.7109375" style="65" customWidth="1"/>
    <col min="5409" max="5632" width="9.140625" style="65"/>
    <col min="5633" max="5633" width="5.7109375" style="65" customWidth="1"/>
    <col min="5634" max="5634" width="1.7109375" style="65" customWidth="1"/>
    <col min="5635" max="5635" width="3.7109375" style="65" customWidth="1"/>
    <col min="5636" max="5636" width="7.7109375" style="65" customWidth="1"/>
    <col min="5637" max="5638" width="3.7109375" style="65" customWidth="1"/>
    <col min="5639" max="5639" width="8.28515625" style="65" customWidth="1"/>
    <col min="5640" max="5640" width="3.7109375" style="65" customWidth="1"/>
    <col min="5641" max="5641" width="8.28515625" style="65" customWidth="1"/>
    <col min="5642" max="5642" width="7.7109375" style="65" customWidth="1"/>
    <col min="5643" max="5643" width="3.7109375" style="65" customWidth="1"/>
    <col min="5644" max="5644" width="7.7109375" style="65" customWidth="1"/>
    <col min="5645" max="5645" width="2.7109375" style="65" customWidth="1"/>
    <col min="5646" max="5646" width="10.7109375" style="65" customWidth="1"/>
    <col min="5647" max="5647" width="1.7109375" style="65" customWidth="1"/>
    <col min="5648" max="5649" width="5.7109375" style="65" customWidth="1"/>
    <col min="5650" max="5650" width="1.7109375" style="65" customWidth="1"/>
    <col min="5651" max="5651" width="3.7109375" style="65" customWidth="1"/>
    <col min="5652" max="5652" width="7.7109375" style="65" customWidth="1"/>
    <col min="5653" max="5654" width="3.7109375" style="65" customWidth="1"/>
    <col min="5655" max="5655" width="8.28515625" style="65" customWidth="1"/>
    <col min="5656" max="5656" width="3.7109375" style="65" customWidth="1"/>
    <col min="5657" max="5657" width="8.28515625" style="65" customWidth="1"/>
    <col min="5658" max="5658" width="7.7109375" style="65" customWidth="1"/>
    <col min="5659" max="5659" width="3.7109375" style="65" customWidth="1"/>
    <col min="5660" max="5660" width="7.7109375" style="65" customWidth="1"/>
    <col min="5661" max="5661" width="2.7109375" style="65" customWidth="1"/>
    <col min="5662" max="5662" width="10.7109375" style="65" customWidth="1"/>
    <col min="5663" max="5663" width="1.7109375" style="65" customWidth="1"/>
    <col min="5664" max="5664" width="5.7109375" style="65" customWidth="1"/>
    <col min="5665" max="5888" width="9.140625" style="65"/>
    <col min="5889" max="5889" width="5.7109375" style="65" customWidth="1"/>
    <col min="5890" max="5890" width="1.7109375" style="65" customWidth="1"/>
    <col min="5891" max="5891" width="3.7109375" style="65" customWidth="1"/>
    <col min="5892" max="5892" width="7.7109375" style="65" customWidth="1"/>
    <col min="5893" max="5894" width="3.7109375" style="65" customWidth="1"/>
    <col min="5895" max="5895" width="8.28515625" style="65" customWidth="1"/>
    <col min="5896" max="5896" width="3.7109375" style="65" customWidth="1"/>
    <col min="5897" max="5897" width="8.28515625" style="65" customWidth="1"/>
    <col min="5898" max="5898" width="7.7109375" style="65" customWidth="1"/>
    <col min="5899" max="5899" width="3.7109375" style="65" customWidth="1"/>
    <col min="5900" max="5900" width="7.7109375" style="65" customWidth="1"/>
    <col min="5901" max="5901" width="2.7109375" style="65" customWidth="1"/>
    <col min="5902" max="5902" width="10.7109375" style="65" customWidth="1"/>
    <col min="5903" max="5903" width="1.7109375" style="65" customWidth="1"/>
    <col min="5904" max="5905" width="5.7109375" style="65" customWidth="1"/>
    <col min="5906" max="5906" width="1.7109375" style="65" customWidth="1"/>
    <col min="5907" max="5907" width="3.7109375" style="65" customWidth="1"/>
    <col min="5908" max="5908" width="7.7109375" style="65" customWidth="1"/>
    <col min="5909" max="5910" width="3.7109375" style="65" customWidth="1"/>
    <col min="5911" max="5911" width="8.28515625" style="65" customWidth="1"/>
    <col min="5912" max="5912" width="3.7109375" style="65" customWidth="1"/>
    <col min="5913" max="5913" width="8.28515625" style="65" customWidth="1"/>
    <col min="5914" max="5914" width="7.7109375" style="65" customWidth="1"/>
    <col min="5915" max="5915" width="3.7109375" style="65" customWidth="1"/>
    <col min="5916" max="5916" width="7.7109375" style="65" customWidth="1"/>
    <col min="5917" max="5917" width="2.7109375" style="65" customWidth="1"/>
    <col min="5918" max="5918" width="10.7109375" style="65" customWidth="1"/>
    <col min="5919" max="5919" width="1.7109375" style="65" customWidth="1"/>
    <col min="5920" max="5920" width="5.7109375" style="65" customWidth="1"/>
    <col min="5921" max="6144" width="9.140625" style="65"/>
    <col min="6145" max="6145" width="5.7109375" style="65" customWidth="1"/>
    <col min="6146" max="6146" width="1.7109375" style="65" customWidth="1"/>
    <col min="6147" max="6147" width="3.7109375" style="65" customWidth="1"/>
    <col min="6148" max="6148" width="7.7109375" style="65" customWidth="1"/>
    <col min="6149" max="6150" width="3.7109375" style="65" customWidth="1"/>
    <col min="6151" max="6151" width="8.28515625" style="65" customWidth="1"/>
    <col min="6152" max="6152" width="3.7109375" style="65" customWidth="1"/>
    <col min="6153" max="6153" width="8.28515625" style="65" customWidth="1"/>
    <col min="6154" max="6154" width="7.7109375" style="65" customWidth="1"/>
    <col min="6155" max="6155" width="3.7109375" style="65" customWidth="1"/>
    <col min="6156" max="6156" width="7.7109375" style="65" customWidth="1"/>
    <col min="6157" max="6157" width="2.7109375" style="65" customWidth="1"/>
    <col min="6158" max="6158" width="10.7109375" style="65" customWidth="1"/>
    <col min="6159" max="6159" width="1.7109375" style="65" customWidth="1"/>
    <col min="6160" max="6161" width="5.7109375" style="65" customWidth="1"/>
    <col min="6162" max="6162" width="1.7109375" style="65" customWidth="1"/>
    <col min="6163" max="6163" width="3.7109375" style="65" customWidth="1"/>
    <col min="6164" max="6164" width="7.7109375" style="65" customWidth="1"/>
    <col min="6165" max="6166" width="3.7109375" style="65" customWidth="1"/>
    <col min="6167" max="6167" width="8.28515625" style="65" customWidth="1"/>
    <col min="6168" max="6168" width="3.7109375" style="65" customWidth="1"/>
    <col min="6169" max="6169" width="8.28515625" style="65" customWidth="1"/>
    <col min="6170" max="6170" width="7.7109375" style="65" customWidth="1"/>
    <col min="6171" max="6171" width="3.7109375" style="65" customWidth="1"/>
    <col min="6172" max="6172" width="7.7109375" style="65" customWidth="1"/>
    <col min="6173" max="6173" width="2.7109375" style="65" customWidth="1"/>
    <col min="6174" max="6174" width="10.7109375" style="65" customWidth="1"/>
    <col min="6175" max="6175" width="1.7109375" style="65" customWidth="1"/>
    <col min="6176" max="6176" width="5.7109375" style="65" customWidth="1"/>
    <col min="6177" max="6400" width="9.140625" style="65"/>
    <col min="6401" max="6401" width="5.7109375" style="65" customWidth="1"/>
    <col min="6402" max="6402" width="1.7109375" style="65" customWidth="1"/>
    <col min="6403" max="6403" width="3.7109375" style="65" customWidth="1"/>
    <col min="6404" max="6404" width="7.7109375" style="65" customWidth="1"/>
    <col min="6405" max="6406" width="3.7109375" style="65" customWidth="1"/>
    <col min="6407" max="6407" width="8.28515625" style="65" customWidth="1"/>
    <col min="6408" max="6408" width="3.7109375" style="65" customWidth="1"/>
    <col min="6409" max="6409" width="8.28515625" style="65" customWidth="1"/>
    <col min="6410" max="6410" width="7.7109375" style="65" customWidth="1"/>
    <col min="6411" max="6411" width="3.7109375" style="65" customWidth="1"/>
    <col min="6412" max="6412" width="7.7109375" style="65" customWidth="1"/>
    <col min="6413" max="6413" width="2.7109375" style="65" customWidth="1"/>
    <col min="6414" max="6414" width="10.7109375" style="65" customWidth="1"/>
    <col min="6415" max="6415" width="1.7109375" style="65" customWidth="1"/>
    <col min="6416" max="6417" width="5.7109375" style="65" customWidth="1"/>
    <col min="6418" max="6418" width="1.7109375" style="65" customWidth="1"/>
    <col min="6419" max="6419" width="3.7109375" style="65" customWidth="1"/>
    <col min="6420" max="6420" width="7.7109375" style="65" customWidth="1"/>
    <col min="6421" max="6422" width="3.7109375" style="65" customWidth="1"/>
    <col min="6423" max="6423" width="8.28515625" style="65" customWidth="1"/>
    <col min="6424" max="6424" width="3.7109375" style="65" customWidth="1"/>
    <col min="6425" max="6425" width="8.28515625" style="65" customWidth="1"/>
    <col min="6426" max="6426" width="7.7109375" style="65" customWidth="1"/>
    <col min="6427" max="6427" width="3.7109375" style="65" customWidth="1"/>
    <col min="6428" max="6428" width="7.7109375" style="65" customWidth="1"/>
    <col min="6429" max="6429" width="2.7109375" style="65" customWidth="1"/>
    <col min="6430" max="6430" width="10.7109375" style="65" customWidth="1"/>
    <col min="6431" max="6431" width="1.7109375" style="65" customWidth="1"/>
    <col min="6432" max="6432" width="5.7109375" style="65" customWidth="1"/>
    <col min="6433" max="6656" width="9.140625" style="65"/>
    <col min="6657" max="6657" width="5.7109375" style="65" customWidth="1"/>
    <col min="6658" max="6658" width="1.7109375" style="65" customWidth="1"/>
    <col min="6659" max="6659" width="3.7109375" style="65" customWidth="1"/>
    <col min="6660" max="6660" width="7.7109375" style="65" customWidth="1"/>
    <col min="6661" max="6662" width="3.7109375" style="65" customWidth="1"/>
    <col min="6663" max="6663" width="8.28515625" style="65" customWidth="1"/>
    <col min="6664" max="6664" width="3.7109375" style="65" customWidth="1"/>
    <col min="6665" max="6665" width="8.28515625" style="65" customWidth="1"/>
    <col min="6666" max="6666" width="7.7109375" style="65" customWidth="1"/>
    <col min="6667" max="6667" width="3.7109375" style="65" customWidth="1"/>
    <col min="6668" max="6668" width="7.7109375" style="65" customWidth="1"/>
    <col min="6669" max="6669" width="2.7109375" style="65" customWidth="1"/>
    <col min="6670" max="6670" width="10.7109375" style="65" customWidth="1"/>
    <col min="6671" max="6671" width="1.7109375" style="65" customWidth="1"/>
    <col min="6672" max="6673" width="5.7109375" style="65" customWidth="1"/>
    <col min="6674" max="6674" width="1.7109375" style="65" customWidth="1"/>
    <col min="6675" max="6675" width="3.7109375" style="65" customWidth="1"/>
    <col min="6676" max="6676" width="7.7109375" style="65" customWidth="1"/>
    <col min="6677" max="6678" width="3.7109375" style="65" customWidth="1"/>
    <col min="6679" max="6679" width="8.28515625" style="65" customWidth="1"/>
    <col min="6680" max="6680" width="3.7109375" style="65" customWidth="1"/>
    <col min="6681" max="6681" width="8.28515625" style="65" customWidth="1"/>
    <col min="6682" max="6682" width="7.7109375" style="65" customWidth="1"/>
    <col min="6683" max="6683" width="3.7109375" style="65" customWidth="1"/>
    <col min="6684" max="6684" width="7.7109375" style="65" customWidth="1"/>
    <col min="6685" max="6685" width="2.7109375" style="65" customWidth="1"/>
    <col min="6686" max="6686" width="10.7109375" style="65" customWidth="1"/>
    <col min="6687" max="6687" width="1.7109375" style="65" customWidth="1"/>
    <col min="6688" max="6688" width="5.7109375" style="65" customWidth="1"/>
    <col min="6689" max="6912" width="9.140625" style="65"/>
    <col min="6913" max="6913" width="5.7109375" style="65" customWidth="1"/>
    <col min="6914" max="6914" width="1.7109375" style="65" customWidth="1"/>
    <col min="6915" max="6915" width="3.7109375" style="65" customWidth="1"/>
    <col min="6916" max="6916" width="7.7109375" style="65" customWidth="1"/>
    <col min="6917" max="6918" width="3.7109375" style="65" customWidth="1"/>
    <col min="6919" max="6919" width="8.28515625" style="65" customWidth="1"/>
    <col min="6920" max="6920" width="3.7109375" style="65" customWidth="1"/>
    <col min="6921" max="6921" width="8.28515625" style="65" customWidth="1"/>
    <col min="6922" max="6922" width="7.7109375" style="65" customWidth="1"/>
    <col min="6923" max="6923" width="3.7109375" style="65" customWidth="1"/>
    <col min="6924" max="6924" width="7.7109375" style="65" customWidth="1"/>
    <col min="6925" max="6925" width="2.7109375" style="65" customWidth="1"/>
    <col min="6926" max="6926" width="10.7109375" style="65" customWidth="1"/>
    <col min="6927" max="6927" width="1.7109375" style="65" customWidth="1"/>
    <col min="6928" max="6929" width="5.7109375" style="65" customWidth="1"/>
    <col min="6930" max="6930" width="1.7109375" style="65" customWidth="1"/>
    <col min="6931" max="6931" width="3.7109375" style="65" customWidth="1"/>
    <col min="6932" max="6932" width="7.7109375" style="65" customWidth="1"/>
    <col min="6933" max="6934" width="3.7109375" style="65" customWidth="1"/>
    <col min="6935" max="6935" width="8.28515625" style="65" customWidth="1"/>
    <col min="6936" max="6936" width="3.7109375" style="65" customWidth="1"/>
    <col min="6937" max="6937" width="8.28515625" style="65" customWidth="1"/>
    <col min="6938" max="6938" width="7.7109375" style="65" customWidth="1"/>
    <col min="6939" max="6939" width="3.7109375" style="65" customWidth="1"/>
    <col min="6940" max="6940" width="7.7109375" style="65" customWidth="1"/>
    <col min="6941" max="6941" width="2.7109375" style="65" customWidth="1"/>
    <col min="6942" max="6942" width="10.7109375" style="65" customWidth="1"/>
    <col min="6943" max="6943" width="1.7109375" style="65" customWidth="1"/>
    <col min="6944" max="6944" width="5.7109375" style="65" customWidth="1"/>
    <col min="6945" max="7168" width="9.140625" style="65"/>
    <col min="7169" max="7169" width="5.7109375" style="65" customWidth="1"/>
    <col min="7170" max="7170" width="1.7109375" style="65" customWidth="1"/>
    <col min="7171" max="7171" width="3.7109375" style="65" customWidth="1"/>
    <col min="7172" max="7172" width="7.7109375" style="65" customWidth="1"/>
    <col min="7173" max="7174" width="3.7109375" style="65" customWidth="1"/>
    <col min="7175" max="7175" width="8.28515625" style="65" customWidth="1"/>
    <col min="7176" max="7176" width="3.7109375" style="65" customWidth="1"/>
    <col min="7177" max="7177" width="8.28515625" style="65" customWidth="1"/>
    <col min="7178" max="7178" width="7.7109375" style="65" customWidth="1"/>
    <col min="7179" max="7179" width="3.7109375" style="65" customWidth="1"/>
    <col min="7180" max="7180" width="7.7109375" style="65" customWidth="1"/>
    <col min="7181" max="7181" width="2.7109375" style="65" customWidth="1"/>
    <col min="7182" max="7182" width="10.7109375" style="65" customWidth="1"/>
    <col min="7183" max="7183" width="1.7109375" style="65" customWidth="1"/>
    <col min="7184" max="7185" width="5.7109375" style="65" customWidth="1"/>
    <col min="7186" max="7186" width="1.7109375" style="65" customWidth="1"/>
    <col min="7187" max="7187" width="3.7109375" style="65" customWidth="1"/>
    <col min="7188" max="7188" width="7.7109375" style="65" customWidth="1"/>
    <col min="7189" max="7190" width="3.7109375" style="65" customWidth="1"/>
    <col min="7191" max="7191" width="8.28515625" style="65" customWidth="1"/>
    <col min="7192" max="7192" width="3.7109375" style="65" customWidth="1"/>
    <col min="7193" max="7193" width="8.28515625" style="65" customWidth="1"/>
    <col min="7194" max="7194" width="7.7109375" style="65" customWidth="1"/>
    <col min="7195" max="7195" width="3.7109375" style="65" customWidth="1"/>
    <col min="7196" max="7196" width="7.7109375" style="65" customWidth="1"/>
    <col min="7197" max="7197" width="2.7109375" style="65" customWidth="1"/>
    <col min="7198" max="7198" width="10.7109375" style="65" customWidth="1"/>
    <col min="7199" max="7199" width="1.7109375" style="65" customWidth="1"/>
    <col min="7200" max="7200" width="5.7109375" style="65" customWidth="1"/>
    <col min="7201" max="7424" width="9.140625" style="65"/>
    <col min="7425" max="7425" width="5.7109375" style="65" customWidth="1"/>
    <col min="7426" max="7426" width="1.7109375" style="65" customWidth="1"/>
    <col min="7427" max="7427" width="3.7109375" style="65" customWidth="1"/>
    <col min="7428" max="7428" width="7.7109375" style="65" customWidth="1"/>
    <col min="7429" max="7430" width="3.7109375" style="65" customWidth="1"/>
    <col min="7431" max="7431" width="8.28515625" style="65" customWidth="1"/>
    <col min="7432" max="7432" width="3.7109375" style="65" customWidth="1"/>
    <col min="7433" max="7433" width="8.28515625" style="65" customWidth="1"/>
    <col min="7434" max="7434" width="7.7109375" style="65" customWidth="1"/>
    <col min="7435" max="7435" width="3.7109375" style="65" customWidth="1"/>
    <col min="7436" max="7436" width="7.7109375" style="65" customWidth="1"/>
    <col min="7437" max="7437" width="2.7109375" style="65" customWidth="1"/>
    <col min="7438" max="7438" width="10.7109375" style="65" customWidth="1"/>
    <col min="7439" max="7439" width="1.7109375" style="65" customWidth="1"/>
    <col min="7440" max="7441" width="5.7109375" style="65" customWidth="1"/>
    <col min="7442" max="7442" width="1.7109375" style="65" customWidth="1"/>
    <col min="7443" max="7443" width="3.7109375" style="65" customWidth="1"/>
    <col min="7444" max="7444" width="7.7109375" style="65" customWidth="1"/>
    <col min="7445" max="7446" width="3.7109375" style="65" customWidth="1"/>
    <col min="7447" max="7447" width="8.28515625" style="65" customWidth="1"/>
    <col min="7448" max="7448" width="3.7109375" style="65" customWidth="1"/>
    <col min="7449" max="7449" width="8.28515625" style="65" customWidth="1"/>
    <col min="7450" max="7450" width="7.7109375" style="65" customWidth="1"/>
    <col min="7451" max="7451" width="3.7109375" style="65" customWidth="1"/>
    <col min="7452" max="7452" width="7.7109375" style="65" customWidth="1"/>
    <col min="7453" max="7453" width="2.7109375" style="65" customWidth="1"/>
    <col min="7454" max="7454" width="10.7109375" style="65" customWidth="1"/>
    <col min="7455" max="7455" width="1.7109375" style="65" customWidth="1"/>
    <col min="7456" max="7456" width="5.7109375" style="65" customWidth="1"/>
    <col min="7457" max="7680" width="9.140625" style="65"/>
    <col min="7681" max="7681" width="5.7109375" style="65" customWidth="1"/>
    <col min="7682" max="7682" width="1.7109375" style="65" customWidth="1"/>
    <col min="7683" max="7683" width="3.7109375" style="65" customWidth="1"/>
    <col min="7684" max="7684" width="7.7109375" style="65" customWidth="1"/>
    <col min="7685" max="7686" width="3.7109375" style="65" customWidth="1"/>
    <col min="7687" max="7687" width="8.28515625" style="65" customWidth="1"/>
    <col min="7688" max="7688" width="3.7109375" style="65" customWidth="1"/>
    <col min="7689" max="7689" width="8.28515625" style="65" customWidth="1"/>
    <col min="7690" max="7690" width="7.7109375" style="65" customWidth="1"/>
    <col min="7691" max="7691" width="3.7109375" style="65" customWidth="1"/>
    <col min="7692" max="7692" width="7.7109375" style="65" customWidth="1"/>
    <col min="7693" max="7693" width="2.7109375" style="65" customWidth="1"/>
    <col min="7694" max="7694" width="10.7109375" style="65" customWidth="1"/>
    <col min="7695" max="7695" width="1.7109375" style="65" customWidth="1"/>
    <col min="7696" max="7697" width="5.7109375" style="65" customWidth="1"/>
    <col min="7698" max="7698" width="1.7109375" style="65" customWidth="1"/>
    <col min="7699" max="7699" width="3.7109375" style="65" customWidth="1"/>
    <col min="7700" max="7700" width="7.7109375" style="65" customWidth="1"/>
    <col min="7701" max="7702" width="3.7109375" style="65" customWidth="1"/>
    <col min="7703" max="7703" width="8.28515625" style="65" customWidth="1"/>
    <col min="7704" max="7704" width="3.7109375" style="65" customWidth="1"/>
    <col min="7705" max="7705" width="8.28515625" style="65" customWidth="1"/>
    <col min="7706" max="7706" width="7.7109375" style="65" customWidth="1"/>
    <col min="7707" max="7707" width="3.7109375" style="65" customWidth="1"/>
    <col min="7708" max="7708" width="7.7109375" style="65" customWidth="1"/>
    <col min="7709" max="7709" width="2.7109375" style="65" customWidth="1"/>
    <col min="7710" max="7710" width="10.7109375" style="65" customWidth="1"/>
    <col min="7711" max="7711" width="1.7109375" style="65" customWidth="1"/>
    <col min="7712" max="7712" width="5.7109375" style="65" customWidth="1"/>
    <col min="7713" max="7936" width="9.140625" style="65"/>
    <col min="7937" max="7937" width="5.7109375" style="65" customWidth="1"/>
    <col min="7938" max="7938" width="1.7109375" style="65" customWidth="1"/>
    <col min="7939" max="7939" width="3.7109375" style="65" customWidth="1"/>
    <col min="7940" max="7940" width="7.7109375" style="65" customWidth="1"/>
    <col min="7941" max="7942" width="3.7109375" style="65" customWidth="1"/>
    <col min="7943" max="7943" width="8.28515625" style="65" customWidth="1"/>
    <col min="7944" max="7944" width="3.7109375" style="65" customWidth="1"/>
    <col min="7945" max="7945" width="8.28515625" style="65" customWidth="1"/>
    <col min="7946" max="7946" width="7.7109375" style="65" customWidth="1"/>
    <col min="7947" max="7947" width="3.7109375" style="65" customWidth="1"/>
    <col min="7948" max="7948" width="7.7109375" style="65" customWidth="1"/>
    <col min="7949" max="7949" width="2.7109375" style="65" customWidth="1"/>
    <col min="7950" max="7950" width="10.7109375" style="65" customWidth="1"/>
    <col min="7951" max="7951" width="1.7109375" style="65" customWidth="1"/>
    <col min="7952" max="7953" width="5.7109375" style="65" customWidth="1"/>
    <col min="7954" max="7954" width="1.7109375" style="65" customWidth="1"/>
    <col min="7955" max="7955" width="3.7109375" style="65" customWidth="1"/>
    <col min="7956" max="7956" width="7.7109375" style="65" customWidth="1"/>
    <col min="7957" max="7958" width="3.7109375" style="65" customWidth="1"/>
    <col min="7959" max="7959" width="8.28515625" style="65" customWidth="1"/>
    <col min="7960" max="7960" width="3.7109375" style="65" customWidth="1"/>
    <col min="7961" max="7961" width="8.28515625" style="65" customWidth="1"/>
    <col min="7962" max="7962" width="7.7109375" style="65" customWidth="1"/>
    <col min="7963" max="7963" width="3.7109375" style="65" customWidth="1"/>
    <col min="7964" max="7964" width="7.7109375" style="65" customWidth="1"/>
    <col min="7965" max="7965" width="2.7109375" style="65" customWidth="1"/>
    <col min="7966" max="7966" width="10.7109375" style="65" customWidth="1"/>
    <col min="7967" max="7967" width="1.7109375" style="65" customWidth="1"/>
    <col min="7968" max="7968" width="5.7109375" style="65" customWidth="1"/>
    <col min="7969" max="8192" width="9.140625" style="65"/>
    <col min="8193" max="8193" width="5.7109375" style="65" customWidth="1"/>
    <col min="8194" max="8194" width="1.7109375" style="65" customWidth="1"/>
    <col min="8195" max="8195" width="3.7109375" style="65" customWidth="1"/>
    <col min="8196" max="8196" width="7.7109375" style="65" customWidth="1"/>
    <col min="8197" max="8198" width="3.7109375" style="65" customWidth="1"/>
    <col min="8199" max="8199" width="8.28515625" style="65" customWidth="1"/>
    <col min="8200" max="8200" width="3.7109375" style="65" customWidth="1"/>
    <col min="8201" max="8201" width="8.28515625" style="65" customWidth="1"/>
    <col min="8202" max="8202" width="7.7109375" style="65" customWidth="1"/>
    <col min="8203" max="8203" width="3.7109375" style="65" customWidth="1"/>
    <col min="8204" max="8204" width="7.7109375" style="65" customWidth="1"/>
    <col min="8205" max="8205" width="2.7109375" style="65" customWidth="1"/>
    <col min="8206" max="8206" width="10.7109375" style="65" customWidth="1"/>
    <col min="8207" max="8207" width="1.7109375" style="65" customWidth="1"/>
    <col min="8208" max="8209" width="5.7109375" style="65" customWidth="1"/>
    <col min="8210" max="8210" width="1.7109375" style="65" customWidth="1"/>
    <col min="8211" max="8211" width="3.7109375" style="65" customWidth="1"/>
    <col min="8212" max="8212" width="7.7109375" style="65" customWidth="1"/>
    <col min="8213" max="8214" width="3.7109375" style="65" customWidth="1"/>
    <col min="8215" max="8215" width="8.28515625" style="65" customWidth="1"/>
    <col min="8216" max="8216" width="3.7109375" style="65" customWidth="1"/>
    <col min="8217" max="8217" width="8.28515625" style="65" customWidth="1"/>
    <col min="8218" max="8218" width="7.7109375" style="65" customWidth="1"/>
    <col min="8219" max="8219" width="3.7109375" style="65" customWidth="1"/>
    <col min="8220" max="8220" width="7.7109375" style="65" customWidth="1"/>
    <col min="8221" max="8221" width="2.7109375" style="65" customWidth="1"/>
    <col min="8222" max="8222" width="10.7109375" style="65" customWidth="1"/>
    <col min="8223" max="8223" width="1.7109375" style="65" customWidth="1"/>
    <col min="8224" max="8224" width="5.7109375" style="65" customWidth="1"/>
    <col min="8225" max="8448" width="9.140625" style="65"/>
    <col min="8449" max="8449" width="5.7109375" style="65" customWidth="1"/>
    <col min="8450" max="8450" width="1.7109375" style="65" customWidth="1"/>
    <col min="8451" max="8451" width="3.7109375" style="65" customWidth="1"/>
    <col min="8452" max="8452" width="7.7109375" style="65" customWidth="1"/>
    <col min="8453" max="8454" width="3.7109375" style="65" customWidth="1"/>
    <col min="8455" max="8455" width="8.28515625" style="65" customWidth="1"/>
    <col min="8456" max="8456" width="3.7109375" style="65" customWidth="1"/>
    <col min="8457" max="8457" width="8.28515625" style="65" customWidth="1"/>
    <col min="8458" max="8458" width="7.7109375" style="65" customWidth="1"/>
    <col min="8459" max="8459" width="3.7109375" style="65" customWidth="1"/>
    <col min="8460" max="8460" width="7.7109375" style="65" customWidth="1"/>
    <col min="8461" max="8461" width="2.7109375" style="65" customWidth="1"/>
    <col min="8462" max="8462" width="10.7109375" style="65" customWidth="1"/>
    <col min="8463" max="8463" width="1.7109375" style="65" customWidth="1"/>
    <col min="8464" max="8465" width="5.7109375" style="65" customWidth="1"/>
    <col min="8466" max="8466" width="1.7109375" style="65" customWidth="1"/>
    <col min="8467" max="8467" width="3.7109375" style="65" customWidth="1"/>
    <col min="8468" max="8468" width="7.7109375" style="65" customWidth="1"/>
    <col min="8469" max="8470" width="3.7109375" style="65" customWidth="1"/>
    <col min="8471" max="8471" width="8.28515625" style="65" customWidth="1"/>
    <col min="8472" max="8472" width="3.7109375" style="65" customWidth="1"/>
    <col min="8473" max="8473" width="8.28515625" style="65" customWidth="1"/>
    <col min="8474" max="8474" width="7.7109375" style="65" customWidth="1"/>
    <col min="8475" max="8475" width="3.7109375" style="65" customWidth="1"/>
    <col min="8476" max="8476" width="7.7109375" style="65" customWidth="1"/>
    <col min="8477" max="8477" width="2.7109375" style="65" customWidth="1"/>
    <col min="8478" max="8478" width="10.7109375" style="65" customWidth="1"/>
    <col min="8479" max="8479" width="1.7109375" style="65" customWidth="1"/>
    <col min="8480" max="8480" width="5.7109375" style="65" customWidth="1"/>
    <col min="8481" max="8704" width="9.140625" style="65"/>
    <col min="8705" max="8705" width="5.7109375" style="65" customWidth="1"/>
    <col min="8706" max="8706" width="1.7109375" style="65" customWidth="1"/>
    <col min="8707" max="8707" width="3.7109375" style="65" customWidth="1"/>
    <col min="8708" max="8708" width="7.7109375" style="65" customWidth="1"/>
    <col min="8709" max="8710" width="3.7109375" style="65" customWidth="1"/>
    <col min="8711" max="8711" width="8.28515625" style="65" customWidth="1"/>
    <col min="8712" max="8712" width="3.7109375" style="65" customWidth="1"/>
    <col min="8713" max="8713" width="8.28515625" style="65" customWidth="1"/>
    <col min="8714" max="8714" width="7.7109375" style="65" customWidth="1"/>
    <col min="8715" max="8715" width="3.7109375" style="65" customWidth="1"/>
    <col min="8716" max="8716" width="7.7109375" style="65" customWidth="1"/>
    <col min="8717" max="8717" width="2.7109375" style="65" customWidth="1"/>
    <col min="8718" max="8718" width="10.7109375" style="65" customWidth="1"/>
    <col min="8719" max="8719" width="1.7109375" style="65" customWidth="1"/>
    <col min="8720" max="8721" width="5.7109375" style="65" customWidth="1"/>
    <col min="8722" max="8722" width="1.7109375" style="65" customWidth="1"/>
    <col min="8723" max="8723" width="3.7109375" style="65" customWidth="1"/>
    <col min="8724" max="8724" width="7.7109375" style="65" customWidth="1"/>
    <col min="8725" max="8726" width="3.7109375" style="65" customWidth="1"/>
    <col min="8727" max="8727" width="8.28515625" style="65" customWidth="1"/>
    <col min="8728" max="8728" width="3.7109375" style="65" customWidth="1"/>
    <col min="8729" max="8729" width="8.28515625" style="65" customWidth="1"/>
    <col min="8730" max="8730" width="7.7109375" style="65" customWidth="1"/>
    <col min="8731" max="8731" width="3.7109375" style="65" customWidth="1"/>
    <col min="8732" max="8732" width="7.7109375" style="65" customWidth="1"/>
    <col min="8733" max="8733" width="2.7109375" style="65" customWidth="1"/>
    <col min="8734" max="8734" width="10.7109375" style="65" customWidth="1"/>
    <col min="8735" max="8735" width="1.7109375" style="65" customWidth="1"/>
    <col min="8736" max="8736" width="5.7109375" style="65" customWidth="1"/>
    <col min="8737" max="8960" width="9.140625" style="65"/>
    <col min="8961" max="8961" width="5.7109375" style="65" customWidth="1"/>
    <col min="8962" max="8962" width="1.7109375" style="65" customWidth="1"/>
    <col min="8963" max="8963" width="3.7109375" style="65" customWidth="1"/>
    <col min="8964" max="8964" width="7.7109375" style="65" customWidth="1"/>
    <col min="8965" max="8966" width="3.7109375" style="65" customWidth="1"/>
    <col min="8967" max="8967" width="8.28515625" style="65" customWidth="1"/>
    <col min="8968" max="8968" width="3.7109375" style="65" customWidth="1"/>
    <col min="8969" max="8969" width="8.28515625" style="65" customWidth="1"/>
    <col min="8970" max="8970" width="7.7109375" style="65" customWidth="1"/>
    <col min="8971" max="8971" width="3.7109375" style="65" customWidth="1"/>
    <col min="8972" max="8972" width="7.7109375" style="65" customWidth="1"/>
    <col min="8973" max="8973" width="2.7109375" style="65" customWidth="1"/>
    <col min="8974" max="8974" width="10.7109375" style="65" customWidth="1"/>
    <col min="8975" max="8975" width="1.7109375" style="65" customWidth="1"/>
    <col min="8976" max="8977" width="5.7109375" style="65" customWidth="1"/>
    <col min="8978" max="8978" width="1.7109375" style="65" customWidth="1"/>
    <col min="8979" max="8979" width="3.7109375" style="65" customWidth="1"/>
    <col min="8980" max="8980" width="7.7109375" style="65" customWidth="1"/>
    <col min="8981" max="8982" width="3.7109375" style="65" customWidth="1"/>
    <col min="8983" max="8983" width="8.28515625" style="65" customWidth="1"/>
    <col min="8984" max="8984" width="3.7109375" style="65" customWidth="1"/>
    <col min="8985" max="8985" width="8.28515625" style="65" customWidth="1"/>
    <col min="8986" max="8986" width="7.7109375" style="65" customWidth="1"/>
    <col min="8987" max="8987" width="3.7109375" style="65" customWidth="1"/>
    <col min="8988" max="8988" width="7.7109375" style="65" customWidth="1"/>
    <col min="8989" max="8989" width="2.7109375" style="65" customWidth="1"/>
    <col min="8990" max="8990" width="10.7109375" style="65" customWidth="1"/>
    <col min="8991" max="8991" width="1.7109375" style="65" customWidth="1"/>
    <col min="8992" max="8992" width="5.7109375" style="65" customWidth="1"/>
    <col min="8993" max="9216" width="9.140625" style="65"/>
    <col min="9217" max="9217" width="5.7109375" style="65" customWidth="1"/>
    <col min="9218" max="9218" width="1.7109375" style="65" customWidth="1"/>
    <col min="9219" max="9219" width="3.7109375" style="65" customWidth="1"/>
    <col min="9220" max="9220" width="7.7109375" style="65" customWidth="1"/>
    <col min="9221" max="9222" width="3.7109375" style="65" customWidth="1"/>
    <col min="9223" max="9223" width="8.28515625" style="65" customWidth="1"/>
    <col min="9224" max="9224" width="3.7109375" style="65" customWidth="1"/>
    <col min="9225" max="9225" width="8.28515625" style="65" customWidth="1"/>
    <col min="9226" max="9226" width="7.7109375" style="65" customWidth="1"/>
    <col min="9227" max="9227" width="3.7109375" style="65" customWidth="1"/>
    <col min="9228" max="9228" width="7.7109375" style="65" customWidth="1"/>
    <col min="9229" max="9229" width="2.7109375" style="65" customWidth="1"/>
    <col min="9230" max="9230" width="10.7109375" style="65" customWidth="1"/>
    <col min="9231" max="9231" width="1.7109375" style="65" customWidth="1"/>
    <col min="9232" max="9233" width="5.7109375" style="65" customWidth="1"/>
    <col min="9234" max="9234" width="1.7109375" style="65" customWidth="1"/>
    <col min="9235" max="9235" width="3.7109375" style="65" customWidth="1"/>
    <col min="9236" max="9236" width="7.7109375" style="65" customWidth="1"/>
    <col min="9237" max="9238" width="3.7109375" style="65" customWidth="1"/>
    <col min="9239" max="9239" width="8.28515625" style="65" customWidth="1"/>
    <col min="9240" max="9240" width="3.7109375" style="65" customWidth="1"/>
    <col min="9241" max="9241" width="8.28515625" style="65" customWidth="1"/>
    <col min="9242" max="9242" width="7.7109375" style="65" customWidth="1"/>
    <col min="9243" max="9243" width="3.7109375" style="65" customWidth="1"/>
    <col min="9244" max="9244" width="7.7109375" style="65" customWidth="1"/>
    <col min="9245" max="9245" width="2.7109375" style="65" customWidth="1"/>
    <col min="9246" max="9246" width="10.7109375" style="65" customWidth="1"/>
    <col min="9247" max="9247" width="1.7109375" style="65" customWidth="1"/>
    <col min="9248" max="9248" width="5.7109375" style="65" customWidth="1"/>
    <col min="9249" max="9472" width="9.140625" style="65"/>
    <col min="9473" max="9473" width="5.7109375" style="65" customWidth="1"/>
    <col min="9474" max="9474" width="1.7109375" style="65" customWidth="1"/>
    <col min="9475" max="9475" width="3.7109375" style="65" customWidth="1"/>
    <col min="9476" max="9476" width="7.7109375" style="65" customWidth="1"/>
    <col min="9477" max="9478" width="3.7109375" style="65" customWidth="1"/>
    <col min="9479" max="9479" width="8.28515625" style="65" customWidth="1"/>
    <col min="9480" max="9480" width="3.7109375" style="65" customWidth="1"/>
    <col min="9481" max="9481" width="8.28515625" style="65" customWidth="1"/>
    <col min="9482" max="9482" width="7.7109375" style="65" customWidth="1"/>
    <col min="9483" max="9483" width="3.7109375" style="65" customWidth="1"/>
    <col min="9484" max="9484" width="7.7109375" style="65" customWidth="1"/>
    <col min="9485" max="9485" width="2.7109375" style="65" customWidth="1"/>
    <col min="9486" max="9486" width="10.7109375" style="65" customWidth="1"/>
    <col min="9487" max="9487" width="1.7109375" style="65" customWidth="1"/>
    <col min="9488" max="9489" width="5.7109375" style="65" customWidth="1"/>
    <col min="9490" max="9490" width="1.7109375" style="65" customWidth="1"/>
    <col min="9491" max="9491" width="3.7109375" style="65" customWidth="1"/>
    <col min="9492" max="9492" width="7.7109375" style="65" customWidth="1"/>
    <col min="9493" max="9494" width="3.7109375" style="65" customWidth="1"/>
    <col min="9495" max="9495" width="8.28515625" style="65" customWidth="1"/>
    <col min="9496" max="9496" width="3.7109375" style="65" customWidth="1"/>
    <col min="9497" max="9497" width="8.28515625" style="65" customWidth="1"/>
    <col min="9498" max="9498" width="7.7109375" style="65" customWidth="1"/>
    <col min="9499" max="9499" width="3.7109375" style="65" customWidth="1"/>
    <col min="9500" max="9500" width="7.7109375" style="65" customWidth="1"/>
    <col min="9501" max="9501" width="2.7109375" style="65" customWidth="1"/>
    <col min="9502" max="9502" width="10.7109375" style="65" customWidth="1"/>
    <col min="9503" max="9503" width="1.7109375" style="65" customWidth="1"/>
    <col min="9504" max="9504" width="5.7109375" style="65" customWidth="1"/>
    <col min="9505" max="9728" width="9.140625" style="65"/>
    <col min="9729" max="9729" width="5.7109375" style="65" customWidth="1"/>
    <col min="9730" max="9730" width="1.7109375" style="65" customWidth="1"/>
    <col min="9731" max="9731" width="3.7109375" style="65" customWidth="1"/>
    <col min="9732" max="9732" width="7.7109375" style="65" customWidth="1"/>
    <col min="9733" max="9734" width="3.7109375" style="65" customWidth="1"/>
    <col min="9735" max="9735" width="8.28515625" style="65" customWidth="1"/>
    <col min="9736" max="9736" width="3.7109375" style="65" customWidth="1"/>
    <col min="9737" max="9737" width="8.28515625" style="65" customWidth="1"/>
    <col min="9738" max="9738" width="7.7109375" style="65" customWidth="1"/>
    <col min="9739" max="9739" width="3.7109375" style="65" customWidth="1"/>
    <col min="9740" max="9740" width="7.7109375" style="65" customWidth="1"/>
    <col min="9741" max="9741" width="2.7109375" style="65" customWidth="1"/>
    <col min="9742" max="9742" width="10.7109375" style="65" customWidth="1"/>
    <col min="9743" max="9743" width="1.7109375" style="65" customWidth="1"/>
    <col min="9744" max="9745" width="5.7109375" style="65" customWidth="1"/>
    <col min="9746" max="9746" width="1.7109375" style="65" customWidth="1"/>
    <col min="9747" max="9747" width="3.7109375" style="65" customWidth="1"/>
    <col min="9748" max="9748" width="7.7109375" style="65" customWidth="1"/>
    <col min="9749" max="9750" width="3.7109375" style="65" customWidth="1"/>
    <col min="9751" max="9751" width="8.28515625" style="65" customWidth="1"/>
    <col min="9752" max="9752" width="3.7109375" style="65" customWidth="1"/>
    <col min="9753" max="9753" width="8.28515625" style="65" customWidth="1"/>
    <col min="9754" max="9754" width="7.7109375" style="65" customWidth="1"/>
    <col min="9755" max="9755" width="3.7109375" style="65" customWidth="1"/>
    <col min="9756" max="9756" width="7.7109375" style="65" customWidth="1"/>
    <col min="9757" max="9757" width="2.7109375" style="65" customWidth="1"/>
    <col min="9758" max="9758" width="10.7109375" style="65" customWidth="1"/>
    <col min="9759" max="9759" width="1.7109375" style="65" customWidth="1"/>
    <col min="9760" max="9760" width="5.7109375" style="65" customWidth="1"/>
    <col min="9761" max="9984" width="9.140625" style="65"/>
    <col min="9985" max="9985" width="5.7109375" style="65" customWidth="1"/>
    <col min="9986" max="9986" width="1.7109375" style="65" customWidth="1"/>
    <col min="9987" max="9987" width="3.7109375" style="65" customWidth="1"/>
    <col min="9988" max="9988" width="7.7109375" style="65" customWidth="1"/>
    <col min="9989" max="9990" width="3.7109375" style="65" customWidth="1"/>
    <col min="9991" max="9991" width="8.28515625" style="65" customWidth="1"/>
    <col min="9992" max="9992" width="3.7109375" style="65" customWidth="1"/>
    <col min="9993" max="9993" width="8.28515625" style="65" customWidth="1"/>
    <col min="9994" max="9994" width="7.7109375" style="65" customWidth="1"/>
    <col min="9995" max="9995" width="3.7109375" style="65" customWidth="1"/>
    <col min="9996" max="9996" width="7.7109375" style="65" customWidth="1"/>
    <col min="9997" max="9997" width="2.7109375" style="65" customWidth="1"/>
    <col min="9998" max="9998" width="10.7109375" style="65" customWidth="1"/>
    <col min="9999" max="9999" width="1.7109375" style="65" customWidth="1"/>
    <col min="10000" max="10001" width="5.7109375" style="65" customWidth="1"/>
    <col min="10002" max="10002" width="1.7109375" style="65" customWidth="1"/>
    <col min="10003" max="10003" width="3.7109375" style="65" customWidth="1"/>
    <col min="10004" max="10004" width="7.7109375" style="65" customWidth="1"/>
    <col min="10005" max="10006" width="3.7109375" style="65" customWidth="1"/>
    <col min="10007" max="10007" width="8.28515625" style="65" customWidth="1"/>
    <col min="10008" max="10008" width="3.7109375" style="65" customWidth="1"/>
    <col min="10009" max="10009" width="8.28515625" style="65" customWidth="1"/>
    <col min="10010" max="10010" width="7.7109375" style="65" customWidth="1"/>
    <col min="10011" max="10011" width="3.7109375" style="65" customWidth="1"/>
    <col min="10012" max="10012" width="7.7109375" style="65" customWidth="1"/>
    <col min="10013" max="10013" width="2.7109375" style="65" customWidth="1"/>
    <col min="10014" max="10014" width="10.7109375" style="65" customWidth="1"/>
    <col min="10015" max="10015" width="1.7109375" style="65" customWidth="1"/>
    <col min="10016" max="10016" width="5.7109375" style="65" customWidth="1"/>
    <col min="10017" max="10240" width="9.140625" style="65"/>
    <col min="10241" max="10241" width="5.7109375" style="65" customWidth="1"/>
    <col min="10242" max="10242" width="1.7109375" style="65" customWidth="1"/>
    <col min="10243" max="10243" width="3.7109375" style="65" customWidth="1"/>
    <col min="10244" max="10244" width="7.7109375" style="65" customWidth="1"/>
    <col min="10245" max="10246" width="3.7109375" style="65" customWidth="1"/>
    <col min="10247" max="10247" width="8.28515625" style="65" customWidth="1"/>
    <col min="10248" max="10248" width="3.7109375" style="65" customWidth="1"/>
    <col min="10249" max="10249" width="8.28515625" style="65" customWidth="1"/>
    <col min="10250" max="10250" width="7.7109375" style="65" customWidth="1"/>
    <col min="10251" max="10251" width="3.7109375" style="65" customWidth="1"/>
    <col min="10252" max="10252" width="7.7109375" style="65" customWidth="1"/>
    <col min="10253" max="10253" width="2.7109375" style="65" customWidth="1"/>
    <col min="10254" max="10254" width="10.7109375" style="65" customWidth="1"/>
    <col min="10255" max="10255" width="1.7109375" style="65" customWidth="1"/>
    <col min="10256" max="10257" width="5.7109375" style="65" customWidth="1"/>
    <col min="10258" max="10258" width="1.7109375" style="65" customWidth="1"/>
    <col min="10259" max="10259" width="3.7109375" style="65" customWidth="1"/>
    <col min="10260" max="10260" width="7.7109375" style="65" customWidth="1"/>
    <col min="10261" max="10262" width="3.7109375" style="65" customWidth="1"/>
    <col min="10263" max="10263" width="8.28515625" style="65" customWidth="1"/>
    <col min="10264" max="10264" width="3.7109375" style="65" customWidth="1"/>
    <col min="10265" max="10265" width="8.28515625" style="65" customWidth="1"/>
    <col min="10266" max="10266" width="7.7109375" style="65" customWidth="1"/>
    <col min="10267" max="10267" width="3.7109375" style="65" customWidth="1"/>
    <col min="10268" max="10268" width="7.7109375" style="65" customWidth="1"/>
    <col min="10269" max="10269" width="2.7109375" style="65" customWidth="1"/>
    <col min="10270" max="10270" width="10.7109375" style="65" customWidth="1"/>
    <col min="10271" max="10271" width="1.7109375" style="65" customWidth="1"/>
    <col min="10272" max="10272" width="5.7109375" style="65" customWidth="1"/>
    <col min="10273" max="10496" width="9.140625" style="65"/>
    <col min="10497" max="10497" width="5.7109375" style="65" customWidth="1"/>
    <col min="10498" max="10498" width="1.7109375" style="65" customWidth="1"/>
    <col min="10499" max="10499" width="3.7109375" style="65" customWidth="1"/>
    <col min="10500" max="10500" width="7.7109375" style="65" customWidth="1"/>
    <col min="10501" max="10502" width="3.7109375" style="65" customWidth="1"/>
    <col min="10503" max="10503" width="8.28515625" style="65" customWidth="1"/>
    <col min="10504" max="10504" width="3.7109375" style="65" customWidth="1"/>
    <col min="10505" max="10505" width="8.28515625" style="65" customWidth="1"/>
    <col min="10506" max="10506" width="7.7109375" style="65" customWidth="1"/>
    <col min="10507" max="10507" width="3.7109375" style="65" customWidth="1"/>
    <col min="10508" max="10508" width="7.7109375" style="65" customWidth="1"/>
    <col min="10509" max="10509" width="2.7109375" style="65" customWidth="1"/>
    <col min="10510" max="10510" width="10.7109375" style="65" customWidth="1"/>
    <col min="10511" max="10511" width="1.7109375" style="65" customWidth="1"/>
    <col min="10512" max="10513" width="5.7109375" style="65" customWidth="1"/>
    <col min="10514" max="10514" width="1.7109375" style="65" customWidth="1"/>
    <col min="10515" max="10515" width="3.7109375" style="65" customWidth="1"/>
    <col min="10516" max="10516" width="7.7109375" style="65" customWidth="1"/>
    <col min="10517" max="10518" width="3.7109375" style="65" customWidth="1"/>
    <col min="10519" max="10519" width="8.28515625" style="65" customWidth="1"/>
    <col min="10520" max="10520" width="3.7109375" style="65" customWidth="1"/>
    <col min="10521" max="10521" width="8.28515625" style="65" customWidth="1"/>
    <col min="10522" max="10522" width="7.7109375" style="65" customWidth="1"/>
    <col min="10523" max="10523" width="3.7109375" style="65" customWidth="1"/>
    <col min="10524" max="10524" width="7.7109375" style="65" customWidth="1"/>
    <col min="10525" max="10525" width="2.7109375" style="65" customWidth="1"/>
    <col min="10526" max="10526" width="10.7109375" style="65" customWidth="1"/>
    <col min="10527" max="10527" width="1.7109375" style="65" customWidth="1"/>
    <col min="10528" max="10528" width="5.7109375" style="65" customWidth="1"/>
    <col min="10529" max="10752" width="9.140625" style="65"/>
    <col min="10753" max="10753" width="5.7109375" style="65" customWidth="1"/>
    <col min="10754" max="10754" width="1.7109375" style="65" customWidth="1"/>
    <col min="10755" max="10755" width="3.7109375" style="65" customWidth="1"/>
    <col min="10756" max="10756" width="7.7109375" style="65" customWidth="1"/>
    <col min="10757" max="10758" width="3.7109375" style="65" customWidth="1"/>
    <col min="10759" max="10759" width="8.28515625" style="65" customWidth="1"/>
    <col min="10760" max="10760" width="3.7109375" style="65" customWidth="1"/>
    <col min="10761" max="10761" width="8.28515625" style="65" customWidth="1"/>
    <col min="10762" max="10762" width="7.7109375" style="65" customWidth="1"/>
    <col min="10763" max="10763" width="3.7109375" style="65" customWidth="1"/>
    <col min="10764" max="10764" width="7.7109375" style="65" customWidth="1"/>
    <col min="10765" max="10765" width="2.7109375" style="65" customWidth="1"/>
    <col min="10766" max="10766" width="10.7109375" style="65" customWidth="1"/>
    <col min="10767" max="10767" width="1.7109375" style="65" customWidth="1"/>
    <col min="10768" max="10769" width="5.7109375" style="65" customWidth="1"/>
    <col min="10770" max="10770" width="1.7109375" style="65" customWidth="1"/>
    <col min="10771" max="10771" width="3.7109375" style="65" customWidth="1"/>
    <col min="10772" max="10772" width="7.7109375" style="65" customWidth="1"/>
    <col min="10773" max="10774" width="3.7109375" style="65" customWidth="1"/>
    <col min="10775" max="10775" width="8.28515625" style="65" customWidth="1"/>
    <col min="10776" max="10776" width="3.7109375" style="65" customWidth="1"/>
    <col min="10777" max="10777" width="8.28515625" style="65" customWidth="1"/>
    <col min="10778" max="10778" width="7.7109375" style="65" customWidth="1"/>
    <col min="10779" max="10779" width="3.7109375" style="65" customWidth="1"/>
    <col min="10780" max="10780" width="7.7109375" style="65" customWidth="1"/>
    <col min="10781" max="10781" width="2.7109375" style="65" customWidth="1"/>
    <col min="10782" max="10782" width="10.7109375" style="65" customWidth="1"/>
    <col min="10783" max="10783" width="1.7109375" style="65" customWidth="1"/>
    <col min="10784" max="10784" width="5.7109375" style="65" customWidth="1"/>
    <col min="10785" max="11008" width="9.140625" style="65"/>
    <col min="11009" max="11009" width="5.7109375" style="65" customWidth="1"/>
    <col min="11010" max="11010" width="1.7109375" style="65" customWidth="1"/>
    <col min="11011" max="11011" width="3.7109375" style="65" customWidth="1"/>
    <col min="11012" max="11012" width="7.7109375" style="65" customWidth="1"/>
    <col min="11013" max="11014" width="3.7109375" style="65" customWidth="1"/>
    <col min="11015" max="11015" width="8.28515625" style="65" customWidth="1"/>
    <col min="11016" max="11016" width="3.7109375" style="65" customWidth="1"/>
    <col min="11017" max="11017" width="8.28515625" style="65" customWidth="1"/>
    <col min="11018" max="11018" width="7.7109375" style="65" customWidth="1"/>
    <col min="11019" max="11019" width="3.7109375" style="65" customWidth="1"/>
    <col min="11020" max="11020" width="7.7109375" style="65" customWidth="1"/>
    <col min="11021" max="11021" width="2.7109375" style="65" customWidth="1"/>
    <col min="11022" max="11022" width="10.7109375" style="65" customWidth="1"/>
    <col min="11023" max="11023" width="1.7109375" style="65" customWidth="1"/>
    <col min="11024" max="11025" width="5.7109375" style="65" customWidth="1"/>
    <col min="11026" max="11026" width="1.7109375" style="65" customWidth="1"/>
    <col min="11027" max="11027" width="3.7109375" style="65" customWidth="1"/>
    <col min="11028" max="11028" width="7.7109375" style="65" customWidth="1"/>
    <col min="11029" max="11030" width="3.7109375" style="65" customWidth="1"/>
    <col min="11031" max="11031" width="8.28515625" style="65" customWidth="1"/>
    <col min="11032" max="11032" width="3.7109375" style="65" customWidth="1"/>
    <col min="11033" max="11033" width="8.28515625" style="65" customWidth="1"/>
    <col min="11034" max="11034" width="7.7109375" style="65" customWidth="1"/>
    <col min="11035" max="11035" width="3.7109375" style="65" customWidth="1"/>
    <col min="11036" max="11036" width="7.7109375" style="65" customWidth="1"/>
    <col min="11037" max="11037" width="2.7109375" style="65" customWidth="1"/>
    <col min="11038" max="11038" width="10.7109375" style="65" customWidth="1"/>
    <col min="11039" max="11039" width="1.7109375" style="65" customWidth="1"/>
    <col min="11040" max="11040" width="5.7109375" style="65" customWidth="1"/>
    <col min="11041" max="11264" width="9.140625" style="65"/>
    <col min="11265" max="11265" width="5.7109375" style="65" customWidth="1"/>
    <col min="11266" max="11266" width="1.7109375" style="65" customWidth="1"/>
    <col min="11267" max="11267" width="3.7109375" style="65" customWidth="1"/>
    <col min="11268" max="11268" width="7.7109375" style="65" customWidth="1"/>
    <col min="11269" max="11270" width="3.7109375" style="65" customWidth="1"/>
    <col min="11271" max="11271" width="8.28515625" style="65" customWidth="1"/>
    <col min="11272" max="11272" width="3.7109375" style="65" customWidth="1"/>
    <col min="11273" max="11273" width="8.28515625" style="65" customWidth="1"/>
    <col min="11274" max="11274" width="7.7109375" style="65" customWidth="1"/>
    <col min="11275" max="11275" width="3.7109375" style="65" customWidth="1"/>
    <col min="11276" max="11276" width="7.7109375" style="65" customWidth="1"/>
    <col min="11277" max="11277" width="2.7109375" style="65" customWidth="1"/>
    <col min="11278" max="11278" width="10.7109375" style="65" customWidth="1"/>
    <col min="11279" max="11279" width="1.7109375" style="65" customWidth="1"/>
    <col min="11280" max="11281" width="5.7109375" style="65" customWidth="1"/>
    <col min="11282" max="11282" width="1.7109375" style="65" customWidth="1"/>
    <col min="11283" max="11283" width="3.7109375" style="65" customWidth="1"/>
    <col min="11284" max="11284" width="7.7109375" style="65" customWidth="1"/>
    <col min="11285" max="11286" width="3.7109375" style="65" customWidth="1"/>
    <col min="11287" max="11287" width="8.28515625" style="65" customWidth="1"/>
    <col min="11288" max="11288" width="3.7109375" style="65" customWidth="1"/>
    <col min="11289" max="11289" width="8.28515625" style="65" customWidth="1"/>
    <col min="11290" max="11290" width="7.7109375" style="65" customWidth="1"/>
    <col min="11291" max="11291" width="3.7109375" style="65" customWidth="1"/>
    <col min="11292" max="11292" width="7.7109375" style="65" customWidth="1"/>
    <col min="11293" max="11293" width="2.7109375" style="65" customWidth="1"/>
    <col min="11294" max="11294" width="10.7109375" style="65" customWidth="1"/>
    <col min="11295" max="11295" width="1.7109375" style="65" customWidth="1"/>
    <col min="11296" max="11296" width="5.7109375" style="65" customWidth="1"/>
    <col min="11297" max="11520" width="9.140625" style="65"/>
    <col min="11521" max="11521" width="5.7109375" style="65" customWidth="1"/>
    <col min="11522" max="11522" width="1.7109375" style="65" customWidth="1"/>
    <col min="11523" max="11523" width="3.7109375" style="65" customWidth="1"/>
    <col min="11524" max="11524" width="7.7109375" style="65" customWidth="1"/>
    <col min="11525" max="11526" width="3.7109375" style="65" customWidth="1"/>
    <col min="11527" max="11527" width="8.28515625" style="65" customWidth="1"/>
    <col min="11528" max="11528" width="3.7109375" style="65" customWidth="1"/>
    <col min="11529" max="11529" width="8.28515625" style="65" customWidth="1"/>
    <col min="11530" max="11530" width="7.7109375" style="65" customWidth="1"/>
    <col min="11531" max="11531" width="3.7109375" style="65" customWidth="1"/>
    <col min="11532" max="11532" width="7.7109375" style="65" customWidth="1"/>
    <col min="11533" max="11533" width="2.7109375" style="65" customWidth="1"/>
    <col min="11534" max="11534" width="10.7109375" style="65" customWidth="1"/>
    <col min="11535" max="11535" width="1.7109375" style="65" customWidth="1"/>
    <col min="11536" max="11537" width="5.7109375" style="65" customWidth="1"/>
    <col min="11538" max="11538" width="1.7109375" style="65" customWidth="1"/>
    <col min="11539" max="11539" width="3.7109375" style="65" customWidth="1"/>
    <col min="11540" max="11540" width="7.7109375" style="65" customWidth="1"/>
    <col min="11541" max="11542" width="3.7109375" style="65" customWidth="1"/>
    <col min="11543" max="11543" width="8.28515625" style="65" customWidth="1"/>
    <col min="11544" max="11544" width="3.7109375" style="65" customWidth="1"/>
    <col min="11545" max="11545" width="8.28515625" style="65" customWidth="1"/>
    <col min="11546" max="11546" width="7.7109375" style="65" customWidth="1"/>
    <col min="11547" max="11547" width="3.7109375" style="65" customWidth="1"/>
    <col min="11548" max="11548" width="7.7109375" style="65" customWidth="1"/>
    <col min="11549" max="11549" width="2.7109375" style="65" customWidth="1"/>
    <col min="11550" max="11550" width="10.7109375" style="65" customWidth="1"/>
    <col min="11551" max="11551" width="1.7109375" style="65" customWidth="1"/>
    <col min="11552" max="11552" width="5.7109375" style="65" customWidth="1"/>
    <col min="11553" max="11776" width="9.140625" style="65"/>
    <col min="11777" max="11777" width="5.7109375" style="65" customWidth="1"/>
    <col min="11778" max="11778" width="1.7109375" style="65" customWidth="1"/>
    <col min="11779" max="11779" width="3.7109375" style="65" customWidth="1"/>
    <col min="11780" max="11780" width="7.7109375" style="65" customWidth="1"/>
    <col min="11781" max="11782" width="3.7109375" style="65" customWidth="1"/>
    <col min="11783" max="11783" width="8.28515625" style="65" customWidth="1"/>
    <col min="11784" max="11784" width="3.7109375" style="65" customWidth="1"/>
    <col min="11785" max="11785" width="8.28515625" style="65" customWidth="1"/>
    <col min="11786" max="11786" width="7.7109375" style="65" customWidth="1"/>
    <col min="11787" max="11787" width="3.7109375" style="65" customWidth="1"/>
    <col min="11788" max="11788" width="7.7109375" style="65" customWidth="1"/>
    <col min="11789" max="11789" width="2.7109375" style="65" customWidth="1"/>
    <col min="11790" max="11790" width="10.7109375" style="65" customWidth="1"/>
    <col min="11791" max="11791" width="1.7109375" style="65" customWidth="1"/>
    <col min="11792" max="11793" width="5.7109375" style="65" customWidth="1"/>
    <col min="11794" max="11794" width="1.7109375" style="65" customWidth="1"/>
    <col min="11795" max="11795" width="3.7109375" style="65" customWidth="1"/>
    <col min="11796" max="11796" width="7.7109375" style="65" customWidth="1"/>
    <col min="11797" max="11798" width="3.7109375" style="65" customWidth="1"/>
    <col min="11799" max="11799" width="8.28515625" style="65" customWidth="1"/>
    <col min="11800" max="11800" width="3.7109375" style="65" customWidth="1"/>
    <col min="11801" max="11801" width="8.28515625" style="65" customWidth="1"/>
    <col min="11802" max="11802" width="7.7109375" style="65" customWidth="1"/>
    <col min="11803" max="11803" width="3.7109375" style="65" customWidth="1"/>
    <col min="11804" max="11804" width="7.7109375" style="65" customWidth="1"/>
    <col min="11805" max="11805" width="2.7109375" style="65" customWidth="1"/>
    <col min="11806" max="11806" width="10.7109375" style="65" customWidth="1"/>
    <col min="11807" max="11807" width="1.7109375" style="65" customWidth="1"/>
    <col min="11808" max="11808" width="5.7109375" style="65" customWidth="1"/>
    <col min="11809" max="12032" width="9.140625" style="65"/>
    <col min="12033" max="12033" width="5.7109375" style="65" customWidth="1"/>
    <col min="12034" max="12034" width="1.7109375" style="65" customWidth="1"/>
    <col min="12035" max="12035" width="3.7109375" style="65" customWidth="1"/>
    <col min="12036" max="12036" width="7.7109375" style="65" customWidth="1"/>
    <col min="12037" max="12038" width="3.7109375" style="65" customWidth="1"/>
    <col min="12039" max="12039" width="8.28515625" style="65" customWidth="1"/>
    <col min="12040" max="12040" width="3.7109375" style="65" customWidth="1"/>
    <col min="12041" max="12041" width="8.28515625" style="65" customWidth="1"/>
    <col min="12042" max="12042" width="7.7109375" style="65" customWidth="1"/>
    <col min="12043" max="12043" width="3.7109375" style="65" customWidth="1"/>
    <col min="12044" max="12044" width="7.7109375" style="65" customWidth="1"/>
    <col min="12045" max="12045" width="2.7109375" style="65" customWidth="1"/>
    <col min="12046" max="12046" width="10.7109375" style="65" customWidth="1"/>
    <col min="12047" max="12047" width="1.7109375" style="65" customWidth="1"/>
    <col min="12048" max="12049" width="5.7109375" style="65" customWidth="1"/>
    <col min="12050" max="12050" width="1.7109375" style="65" customWidth="1"/>
    <col min="12051" max="12051" width="3.7109375" style="65" customWidth="1"/>
    <col min="12052" max="12052" width="7.7109375" style="65" customWidth="1"/>
    <col min="12053" max="12054" width="3.7109375" style="65" customWidth="1"/>
    <col min="12055" max="12055" width="8.28515625" style="65" customWidth="1"/>
    <col min="12056" max="12056" width="3.7109375" style="65" customWidth="1"/>
    <col min="12057" max="12057" width="8.28515625" style="65" customWidth="1"/>
    <col min="12058" max="12058" width="7.7109375" style="65" customWidth="1"/>
    <col min="12059" max="12059" width="3.7109375" style="65" customWidth="1"/>
    <col min="12060" max="12060" width="7.7109375" style="65" customWidth="1"/>
    <col min="12061" max="12061" width="2.7109375" style="65" customWidth="1"/>
    <col min="12062" max="12062" width="10.7109375" style="65" customWidth="1"/>
    <col min="12063" max="12063" width="1.7109375" style="65" customWidth="1"/>
    <col min="12064" max="12064" width="5.7109375" style="65" customWidth="1"/>
    <col min="12065" max="12288" width="9.140625" style="65"/>
    <col min="12289" max="12289" width="5.7109375" style="65" customWidth="1"/>
    <col min="12290" max="12290" width="1.7109375" style="65" customWidth="1"/>
    <col min="12291" max="12291" width="3.7109375" style="65" customWidth="1"/>
    <col min="12292" max="12292" width="7.7109375" style="65" customWidth="1"/>
    <col min="12293" max="12294" width="3.7109375" style="65" customWidth="1"/>
    <col min="12295" max="12295" width="8.28515625" style="65" customWidth="1"/>
    <col min="12296" max="12296" width="3.7109375" style="65" customWidth="1"/>
    <col min="12297" max="12297" width="8.28515625" style="65" customWidth="1"/>
    <col min="12298" max="12298" width="7.7109375" style="65" customWidth="1"/>
    <col min="12299" max="12299" width="3.7109375" style="65" customWidth="1"/>
    <col min="12300" max="12300" width="7.7109375" style="65" customWidth="1"/>
    <col min="12301" max="12301" width="2.7109375" style="65" customWidth="1"/>
    <col min="12302" max="12302" width="10.7109375" style="65" customWidth="1"/>
    <col min="12303" max="12303" width="1.7109375" style="65" customWidth="1"/>
    <col min="12304" max="12305" width="5.7109375" style="65" customWidth="1"/>
    <col min="12306" max="12306" width="1.7109375" style="65" customWidth="1"/>
    <col min="12307" max="12307" width="3.7109375" style="65" customWidth="1"/>
    <col min="12308" max="12308" width="7.7109375" style="65" customWidth="1"/>
    <col min="12309" max="12310" width="3.7109375" style="65" customWidth="1"/>
    <col min="12311" max="12311" width="8.28515625" style="65" customWidth="1"/>
    <col min="12312" max="12312" width="3.7109375" style="65" customWidth="1"/>
    <col min="12313" max="12313" width="8.28515625" style="65" customWidth="1"/>
    <col min="12314" max="12314" width="7.7109375" style="65" customWidth="1"/>
    <col min="12315" max="12315" width="3.7109375" style="65" customWidth="1"/>
    <col min="12316" max="12316" width="7.7109375" style="65" customWidth="1"/>
    <col min="12317" max="12317" width="2.7109375" style="65" customWidth="1"/>
    <col min="12318" max="12318" width="10.7109375" style="65" customWidth="1"/>
    <col min="12319" max="12319" width="1.7109375" style="65" customWidth="1"/>
    <col min="12320" max="12320" width="5.7109375" style="65" customWidth="1"/>
    <col min="12321" max="12544" width="9.140625" style="65"/>
    <col min="12545" max="12545" width="5.7109375" style="65" customWidth="1"/>
    <col min="12546" max="12546" width="1.7109375" style="65" customWidth="1"/>
    <col min="12547" max="12547" width="3.7109375" style="65" customWidth="1"/>
    <col min="12548" max="12548" width="7.7109375" style="65" customWidth="1"/>
    <col min="12549" max="12550" width="3.7109375" style="65" customWidth="1"/>
    <col min="12551" max="12551" width="8.28515625" style="65" customWidth="1"/>
    <col min="12552" max="12552" width="3.7109375" style="65" customWidth="1"/>
    <col min="12553" max="12553" width="8.28515625" style="65" customWidth="1"/>
    <col min="12554" max="12554" width="7.7109375" style="65" customWidth="1"/>
    <col min="12555" max="12555" width="3.7109375" style="65" customWidth="1"/>
    <col min="12556" max="12556" width="7.7109375" style="65" customWidth="1"/>
    <col min="12557" max="12557" width="2.7109375" style="65" customWidth="1"/>
    <col min="12558" max="12558" width="10.7109375" style="65" customWidth="1"/>
    <col min="12559" max="12559" width="1.7109375" style="65" customWidth="1"/>
    <col min="12560" max="12561" width="5.7109375" style="65" customWidth="1"/>
    <col min="12562" max="12562" width="1.7109375" style="65" customWidth="1"/>
    <col min="12563" max="12563" width="3.7109375" style="65" customWidth="1"/>
    <col min="12564" max="12564" width="7.7109375" style="65" customWidth="1"/>
    <col min="12565" max="12566" width="3.7109375" style="65" customWidth="1"/>
    <col min="12567" max="12567" width="8.28515625" style="65" customWidth="1"/>
    <col min="12568" max="12568" width="3.7109375" style="65" customWidth="1"/>
    <col min="12569" max="12569" width="8.28515625" style="65" customWidth="1"/>
    <col min="12570" max="12570" width="7.7109375" style="65" customWidth="1"/>
    <col min="12571" max="12571" width="3.7109375" style="65" customWidth="1"/>
    <col min="12572" max="12572" width="7.7109375" style="65" customWidth="1"/>
    <col min="12573" max="12573" width="2.7109375" style="65" customWidth="1"/>
    <col min="12574" max="12574" width="10.7109375" style="65" customWidth="1"/>
    <col min="12575" max="12575" width="1.7109375" style="65" customWidth="1"/>
    <col min="12576" max="12576" width="5.7109375" style="65" customWidth="1"/>
    <col min="12577" max="12800" width="9.140625" style="65"/>
    <col min="12801" max="12801" width="5.7109375" style="65" customWidth="1"/>
    <col min="12802" max="12802" width="1.7109375" style="65" customWidth="1"/>
    <col min="12803" max="12803" width="3.7109375" style="65" customWidth="1"/>
    <col min="12804" max="12804" width="7.7109375" style="65" customWidth="1"/>
    <col min="12805" max="12806" width="3.7109375" style="65" customWidth="1"/>
    <col min="12807" max="12807" width="8.28515625" style="65" customWidth="1"/>
    <col min="12808" max="12808" width="3.7109375" style="65" customWidth="1"/>
    <col min="12809" max="12809" width="8.28515625" style="65" customWidth="1"/>
    <col min="12810" max="12810" width="7.7109375" style="65" customWidth="1"/>
    <col min="12811" max="12811" width="3.7109375" style="65" customWidth="1"/>
    <col min="12812" max="12812" width="7.7109375" style="65" customWidth="1"/>
    <col min="12813" max="12813" width="2.7109375" style="65" customWidth="1"/>
    <col min="12814" max="12814" width="10.7109375" style="65" customWidth="1"/>
    <col min="12815" max="12815" width="1.7109375" style="65" customWidth="1"/>
    <col min="12816" max="12817" width="5.7109375" style="65" customWidth="1"/>
    <col min="12818" max="12818" width="1.7109375" style="65" customWidth="1"/>
    <col min="12819" max="12819" width="3.7109375" style="65" customWidth="1"/>
    <col min="12820" max="12820" width="7.7109375" style="65" customWidth="1"/>
    <col min="12821" max="12822" width="3.7109375" style="65" customWidth="1"/>
    <col min="12823" max="12823" width="8.28515625" style="65" customWidth="1"/>
    <col min="12824" max="12824" width="3.7109375" style="65" customWidth="1"/>
    <col min="12825" max="12825" width="8.28515625" style="65" customWidth="1"/>
    <col min="12826" max="12826" width="7.7109375" style="65" customWidth="1"/>
    <col min="12827" max="12827" width="3.7109375" style="65" customWidth="1"/>
    <col min="12828" max="12828" width="7.7109375" style="65" customWidth="1"/>
    <col min="12829" max="12829" width="2.7109375" style="65" customWidth="1"/>
    <col min="12830" max="12830" width="10.7109375" style="65" customWidth="1"/>
    <col min="12831" max="12831" width="1.7109375" style="65" customWidth="1"/>
    <col min="12832" max="12832" width="5.7109375" style="65" customWidth="1"/>
    <col min="12833" max="13056" width="9.140625" style="65"/>
    <col min="13057" max="13057" width="5.7109375" style="65" customWidth="1"/>
    <col min="13058" max="13058" width="1.7109375" style="65" customWidth="1"/>
    <col min="13059" max="13059" width="3.7109375" style="65" customWidth="1"/>
    <col min="13060" max="13060" width="7.7109375" style="65" customWidth="1"/>
    <col min="13061" max="13062" width="3.7109375" style="65" customWidth="1"/>
    <col min="13063" max="13063" width="8.28515625" style="65" customWidth="1"/>
    <col min="13064" max="13064" width="3.7109375" style="65" customWidth="1"/>
    <col min="13065" max="13065" width="8.28515625" style="65" customWidth="1"/>
    <col min="13066" max="13066" width="7.7109375" style="65" customWidth="1"/>
    <col min="13067" max="13067" width="3.7109375" style="65" customWidth="1"/>
    <col min="13068" max="13068" width="7.7109375" style="65" customWidth="1"/>
    <col min="13069" max="13069" width="2.7109375" style="65" customWidth="1"/>
    <col min="13070" max="13070" width="10.7109375" style="65" customWidth="1"/>
    <col min="13071" max="13071" width="1.7109375" style="65" customWidth="1"/>
    <col min="13072" max="13073" width="5.7109375" style="65" customWidth="1"/>
    <col min="13074" max="13074" width="1.7109375" style="65" customWidth="1"/>
    <col min="13075" max="13075" width="3.7109375" style="65" customWidth="1"/>
    <col min="13076" max="13076" width="7.7109375" style="65" customWidth="1"/>
    <col min="13077" max="13078" width="3.7109375" style="65" customWidth="1"/>
    <col min="13079" max="13079" width="8.28515625" style="65" customWidth="1"/>
    <col min="13080" max="13080" width="3.7109375" style="65" customWidth="1"/>
    <col min="13081" max="13081" width="8.28515625" style="65" customWidth="1"/>
    <col min="13082" max="13082" width="7.7109375" style="65" customWidth="1"/>
    <col min="13083" max="13083" width="3.7109375" style="65" customWidth="1"/>
    <col min="13084" max="13084" width="7.7109375" style="65" customWidth="1"/>
    <col min="13085" max="13085" width="2.7109375" style="65" customWidth="1"/>
    <col min="13086" max="13086" width="10.7109375" style="65" customWidth="1"/>
    <col min="13087" max="13087" width="1.7109375" style="65" customWidth="1"/>
    <col min="13088" max="13088" width="5.7109375" style="65" customWidth="1"/>
    <col min="13089" max="13312" width="9.140625" style="65"/>
    <col min="13313" max="13313" width="5.7109375" style="65" customWidth="1"/>
    <col min="13314" max="13314" width="1.7109375" style="65" customWidth="1"/>
    <col min="13315" max="13315" width="3.7109375" style="65" customWidth="1"/>
    <col min="13316" max="13316" width="7.7109375" style="65" customWidth="1"/>
    <col min="13317" max="13318" width="3.7109375" style="65" customWidth="1"/>
    <col min="13319" max="13319" width="8.28515625" style="65" customWidth="1"/>
    <col min="13320" max="13320" width="3.7109375" style="65" customWidth="1"/>
    <col min="13321" max="13321" width="8.28515625" style="65" customWidth="1"/>
    <col min="13322" max="13322" width="7.7109375" style="65" customWidth="1"/>
    <col min="13323" max="13323" width="3.7109375" style="65" customWidth="1"/>
    <col min="13324" max="13324" width="7.7109375" style="65" customWidth="1"/>
    <col min="13325" max="13325" width="2.7109375" style="65" customWidth="1"/>
    <col min="13326" max="13326" width="10.7109375" style="65" customWidth="1"/>
    <col min="13327" max="13327" width="1.7109375" style="65" customWidth="1"/>
    <col min="13328" max="13329" width="5.7109375" style="65" customWidth="1"/>
    <col min="13330" max="13330" width="1.7109375" style="65" customWidth="1"/>
    <col min="13331" max="13331" width="3.7109375" style="65" customWidth="1"/>
    <col min="13332" max="13332" width="7.7109375" style="65" customWidth="1"/>
    <col min="13333" max="13334" width="3.7109375" style="65" customWidth="1"/>
    <col min="13335" max="13335" width="8.28515625" style="65" customWidth="1"/>
    <col min="13336" max="13336" width="3.7109375" style="65" customWidth="1"/>
    <col min="13337" max="13337" width="8.28515625" style="65" customWidth="1"/>
    <col min="13338" max="13338" width="7.7109375" style="65" customWidth="1"/>
    <col min="13339" max="13339" width="3.7109375" style="65" customWidth="1"/>
    <col min="13340" max="13340" width="7.7109375" style="65" customWidth="1"/>
    <col min="13341" max="13341" width="2.7109375" style="65" customWidth="1"/>
    <col min="13342" max="13342" width="10.7109375" style="65" customWidth="1"/>
    <col min="13343" max="13343" width="1.7109375" style="65" customWidth="1"/>
    <col min="13344" max="13344" width="5.7109375" style="65" customWidth="1"/>
    <col min="13345" max="13568" width="9.140625" style="65"/>
    <col min="13569" max="13569" width="5.7109375" style="65" customWidth="1"/>
    <col min="13570" max="13570" width="1.7109375" style="65" customWidth="1"/>
    <col min="13571" max="13571" width="3.7109375" style="65" customWidth="1"/>
    <col min="13572" max="13572" width="7.7109375" style="65" customWidth="1"/>
    <col min="13573" max="13574" width="3.7109375" style="65" customWidth="1"/>
    <col min="13575" max="13575" width="8.28515625" style="65" customWidth="1"/>
    <col min="13576" max="13576" width="3.7109375" style="65" customWidth="1"/>
    <col min="13577" max="13577" width="8.28515625" style="65" customWidth="1"/>
    <col min="13578" max="13578" width="7.7109375" style="65" customWidth="1"/>
    <col min="13579" max="13579" width="3.7109375" style="65" customWidth="1"/>
    <col min="13580" max="13580" width="7.7109375" style="65" customWidth="1"/>
    <col min="13581" max="13581" width="2.7109375" style="65" customWidth="1"/>
    <col min="13582" max="13582" width="10.7109375" style="65" customWidth="1"/>
    <col min="13583" max="13583" width="1.7109375" style="65" customWidth="1"/>
    <col min="13584" max="13585" width="5.7109375" style="65" customWidth="1"/>
    <col min="13586" max="13586" width="1.7109375" style="65" customWidth="1"/>
    <col min="13587" max="13587" width="3.7109375" style="65" customWidth="1"/>
    <col min="13588" max="13588" width="7.7109375" style="65" customWidth="1"/>
    <col min="13589" max="13590" width="3.7109375" style="65" customWidth="1"/>
    <col min="13591" max="13591" width="8.28515625" style="65" customWidth="1"/>
    <col min="13592" max="13592" width="3.7109375" style="65" customWidth="1"/>
    <col min="13593" max="13593" width="8.28515625" style="65" customWidth="1"/>
    <col min="13594" max="13594" width="7.7109375" style="65" customWidth="1"/>
    <col min="13595" max="13595" width="3.7109375" style="65" customWidth="1"/>
    <col min="13596" max="13596" width="7.7109375" style="65" customWidth="1"/>
    <col min="13597" max="13597" width="2.7109375" style="65" customWidth="1"/>
    <col min="13598" max="13598" width="10.7109375" style="65" customWidth="1"/>
    <col min="13599" max="13599" width="1.7109375" style="65" customWidth="1"/>
    <col min="13600" max="13600" width="5.7109375" style="65" customWidth="1"/>
    <col min="13601" max="13824" width="9.140625" style="65"/>
    <col min="13825" max="13825" width="5.7109375" style="65" customWidth="1"/>
    <col min="13826" max="13826" width="1.7109375" style="65" customWidth="1"/>
    <col min="13827" max="13827" width="3.7109375" style="65" customWidth="1"/>
    <col min="13828" max="13828" width="7.7109375" style="65" customWidth="1"/>
    <col min="13829" max="13830" width="3.7109375" style="65" customWidth="1"/>
    <col min="13831" max="13831" width="8.28515625" style="65" customWidth="1"/>
    <col min="13832" max="13832" width="3.7109375" style="65" customWidth="1"/>
    <col min="13833" max="13833" width="8.28515625" style="65" customWidth="1"/>
    <col min="13834" max="13834" width="7.7109375" style="65" customWidth="1"/>
    <col min="13835" max="13835" width="3.7109375" style="65" customWidth="1"/>
    <col min="13836" max="13836" width="7.7109375" style="65" customWidth="1"/>
    <col min="13837" max="13837" width="2.7109375" style="65" customWidth="1"/>
    <col min="13838" max="13838" width="10.7109375" style="65" customWidth="1"/>
    <col min="13839" max="13839" width="1.7109375" style="65" customWidth="1"/>
    <col min="13840" max="13841" width="5.7109375" style="65" customWidth="1"/>
    <col min="13842" max="13842" width="1.7109375" style="65" customWidth="1"/>
    <col min="13843" max="13843" width="3.7109375" style="65" customWidth="1"/>
    <col min="13844" max="13844" width="7.7109375" style="65" customWidth="1"/>
    <col min="13845" max="13846" width="3.7109375" style="65" customWidth="1"/>
    <col min="13847" max="13847" width="8.28515625" style="65" customWidth="1"/>
    <col min="13848" max="13848" width="3.7109375" style="65" customWidth="1"/>
    <col min="13849" max="13849" width="8.28515625" style="65" customWidth="1"/>
    <col min="13850" max="13850" width="7.7109375" style="65" customWidth="1"/>
    <col min="13851" max="13851" width="3.7109375" style="65" customWidth="1"/>
    <col min="13852" max="13852" width="7.7109375" style="65" customWidth="1"/>
    <col min="13853" max="13853" width="2.7109375" style="65" customWidth="1"/>
    <col min="13854" max="13854" width="10.7109375" style="65" customWidth="1"/>
    <col min="13855" max="13855" width="1.7109375" style="65" customWidth="1"/>
    <col min="13856" max="13856" width="5.7109375" style="65" customWidth="1"/>
    <col min="13857" max="14080" width="9.140625" style="65"/>
    <col min="14081" max="14081" width="5.7109375" style="65" customWidth="1"/>
    <col min="14082" max="14082" width="1.7109375" style="65" customWidth="1"/>
    <col min="14083" max="14083" width="3.7109375" style="65" customWidth="1"/>
    <col min="14084" max="14084" width="7.7109375" style="65" customWidth="1"/>
    <col min="14085" max="14086" width="3.7109375" style="65" customWidth="1"/>
    <col min="14087" max="14087" width="8.28515625" style="65" customWidth="1"/>
    <col min="14088" max="14088" width="3.7109375" style="65" customWidth="1"/>
    <col min="14089" max="14089" width="8.28515625" style="65" customWidth="1"/>
    <col min="14090" max="14090" width="7.7109375" style="65" customWidth="1"/>
    <col min="14091" max="14091" width="3.7109375" style="65" customWidth="1"/>
    <col min="14092" max="14092" width="7.7109375" style="65" customWidth="1"/>
    <col min="14093" max="14093" width="2.7109375" style="65" customWidth="1"/>
    <col min="14094" max="14094" width="10.7109375" style="65" customWidth="1"/>
    <col min="14095" max="14095" width="1.7109375" style="65" customWidth="1"/>
    <col min="14096" max="14097" width="5.7109375" style="65" customWidth="1"/>
    <col min="14098" max="14098" width="1.7109375" style="65" customWidth="1"/>
    <col min="14099" max="14099" width="3.7109375" style="65" customWidth="1"/>
    <col min="14100" max="14100" width="7.7109375" style="65" customWidth="1"/>
    <col min="14101" max="14102" width="3.7109375" style="65" customWidth="1"/>
    <col min="14103" max="14103" width="8.28515625" style="65" customWidth="1"/>
    <col min="14104" max="14104" width="3.7109375" style="65" customWidth="1"/>
    <col min="14105" max="14105" width="8.28515625" style="65" customWidth="1"/>
    <col min="14106" max="14106" width="7.7109375" style="65" customWidth="1"/>
    <col min="14107" max="14107" width="3.7109375" style="65" customWidth="1"/>
    <col min="14108" max="14108" width="7.7109375" style="65" customWidth="1"/>
    <col min="14109" max="14109" width="2.7109375" style="65" customWidth="1"/>
    <col min="14110" max="14110" width="10.7109375" style="65" customWidth="1"/>
    <col min="14111" max="14111" width="1.7109375" style="65" customWidth="1"/>
    <col min="14112" max="14112" width="5.7109375" style="65" customWidth="1"/>
    <col min="14113" max="14336" width="9.140625" style="65"/>
    <col min="14337" max="14337" width="5.7109375" style="65" customWidth="1"/>
    <col min="14338" max="14338" width="1.7109375" style="65" customWidth="1"/>
    <col min="14339" max="14339" width="3.7109375" style="65" customWidth="1"/>
    <col min="14340" max="14340" width="7.7109375" style="65" customWidth="1"/>
    <col min="14341" max="14342" width="3.7109375" style="65" customWidth="1"/>
    <col min="14343" max="14343" width="8.28515625" style="65" customWidth="1"/>
    <col min="14344" max="14344" width="3.7109375" style="65" customWidth="1"/>
    <col min="14345" max="14345" width="8.28515625" style="65" customWidth="1"/>
    <col min="14346" max="14346" width="7.7109375" style="65" customWidth="1"/>
    <col min="14347" max="14347" width="3.7109375" style="65" customWidth="1"/>
    <col min="14348" max="14348" width="7.7109375" style="65" customWidth="1"/>
    <col min="14349" max="14349" width="2.7109375" style="65" customWidth="1"/>
    <col min="14350" max="14350" width="10.7109375" style="65" customWidth="1"/>
    <col min="14351" max="14351" width="1.7109375" style="65" customWidth="1"/>
    <col min="14352" max="14353" width="5.7109375" style="65" customWidth="1"/>
    <col min="14354" max="14354" width="1.7109375" style="65" customWidth="1"/>
    <col min="14355" max="14355" width="3.7109375" style="65" customWidth="1"/>
    <col min="14356" max="14356" width="7.7109375" style="65" customWidth="1"/>
    <col min="14357" max="14358" width="3.7109375" style="65" customWidth="1"/>
    <col min="14359" max="14359" width="8.28515625" style="65" customWidth="1"/>
    <col min="14360" max="14360" width="3.7109375" style="65" customWidth="1"/>
    <col min="14361" max="14361" width="8.28515625" style="65" customWidth="1"/>
    <col min="14362" max="14362" width="7.7109375" style="65" customWidth="1"/>
    <col min="14363" max="14363" width="3.7109375" style="65" customWidth="1"/>
    <col min="14364" max="14364" width="7.7109375" style="65" customWidth="1"/>
    <col min="14365" max="14365" width="2.7109375" style="65" customWidth="1"/>
    <col min="14366" max="14366" width="10.7109375" style="65" customWidth="1"/>
    <col min="14367" max="14367" width="1.7109375" style="65" customWidth="1"/>
    <col min="14368" max="14368" width="5.7109375" style="65" customWidth="1"/>
    <col min="14369" max="14592" width="9.140625" style="65"/>
    <col min="14593" max="14593" width="5.7109375" style="65" customWidth="1"/>
    <col min="14594" max="14594" width="1.7109375" style="65" customWidth="1"/>
    <col min="14595" max="14595" width="3.7109375" style="65" customWidth="1"/>
    <col min="14596" max="14596" width="7.7109375" style="65" customWidth="1"/>
    <col min="14597" max="14598" width="3.7109375" style="65" customWidth="1"/>
    <col min="14599" max="14599" width="8.28515625" style="65" customWidth="1"/>
    <col min="14600" max="14600" width="3.7109375" style="65" customWidth="1"/>
    <col min="14601" max="14601" width="8.28515625" style="65" customWidth="1"/>
    <col min="14602" max="14602" width="7.7109375" style="65" customWidth="1"/>
    <col min="14603" max="14603" width="3.7109375" style="65" customWidth="1"/>
    <col min="14604" max="14604" width="7.7109375" style="65" customWidth="1"/>
    <col min="14605" max="14605" width="2.7109375" style="65" customWidth="1"/>
    <col min="14606" max="14606" width="10.7109375" style="65" customWidth="1"/>
    <col min="14607" max="14607" width="1.7109375" style="65" customWidth="1"/>
    <col min="14608" max="14609" width="5.7109375" style="65" customWidth="1"/>
    <col min="14610" max="14610" width="1.7109375" style="65" customWidth="1"/>
    <col min="14611" max="14611" width="3.7109375" style="65" customWidth="1"/>
    <col min="14612" max="14612" width="7.7109375" style="65" customWidth="1"/>
    <col min="14613" max="14614" width="3.7109375" style="65" customWidth="1"/>
    <col min="14615" max="14615" width="8.28515625" style="65" customWidth="1"/>
    <col min="14616" max="14616" width="3.7109375" style="65" customWidth="1"/>
    <col min="14617" max="14617" width="8.28515625" style="65" customWidth="1"/>
    <col min="14618" max="14618" width="7.7109375" style="65" customWidth="1"/>
    <col min="14619" max="14619" width="3.7109375" style="65" customWidth="1"/>
    <col min="14620" max="14620" width="7.7109375" style="65" customWidth="1"/>
    <col min="14621" max="14621" width="2.7109375" style="65" customWidth="1"/>
    <col min="14622" max="14622" width="10.7109375" style="65" customWidth="1"/>
    <col min="14623" max="14623" width="1.7109375" style="65" customWidth="1"/>
    <col min="14624" max="14624" width="5.7109375" style="65" customWidth="1"/>
    <col min="14625" max="14848" width="9.140625" style="65"/>
    <col min="14849" max="14849" width="5.7109375" style="65" customWidth="1"/>
    <col min="14850" max="14850" width="1.7109375" style="65" customWidth="1"/>
    <col min="14851" max="14851" width="3.7109375" style="65" customWidth="1"/>
    <col min="14852" max="14852" width="7.7109375" style="65" customWidth="1"/>
    <col min="14853" max="14854" width="3.7109375" style="65" customWidth="1"/>
    <col min="14855" max="14855" width="8.28515625" style="65" customWidth="1"/>
    <col min="14856" max="14856" width="3.7109375" style="65" customWidth="1"/>
    <col min="14857" max="14857" width="8.28515625" style="65" customWidth="1"/>
    <col min="14858" max="14858" width="7.7109375" style="65" customWidth="1"/>
    <col min="14859" max="14859" width="3.7109375" style="65" customWidth="1"/>
    <col min="14860" max="14860" width="7.7109375" style="65" customWidth="1"/>
    <col min="14861" max="14861" width="2.7109375" style="65" customWidth="1"/>
    <col min="14862" max="14862" width="10.7109375" style="65" customWidth="1"/>
    <col min="14863" max="14863" width="1.7109375" style="65" customWidth="1"/>
    <col min="14864" max="14865" width="5.7109375" style="65" customWidth="1"/>
    <col min="14866" max="14866" width="1.7109375" style="65" customWidth="1"/>
    <col min="14867" max="14867" width="3.7109375" style="65" customWidth="1"/>
    <col min="14868" max="14868" width="7.7109375" style="65" customWidth="1"/>
    <col min="14869" max="14870" width="3.7109375" style="65" customWidth="1"/>
    <col min="14871" max="14871" width="8.28515625" style="65" customWidth="1"/>
    <col min="14872" max="14872" width="3.7109375" style="65" customWidth="1"/>
    <col min="14873" max="14873" width="8.28515625" style="65" customWidth="1"/>
    <col min="14874" max="14874" width="7.7109375" style="65" customWidth="1"/>
    <col min="14875" max="14875" width="3.7109375" style="65" customWidth="1"/>
    <col min="14876" max="14876" width="7.7109375" style="65" customWidth="1"/>
    <col min="14877" max="14877" width="2.7109375" style="65" customWidth="1"/>
    <col min="14878" max="14878" width="10.7109375" style="65" customWidth="1"/>
    <col min="14879" max="14879" width="1.7109375" style="65" customWidth="1"/>
    <col min="14880" max="14880" width="5.7109375" style="65" customWidth="1"/>
    <col min="14881" max="15104" width="9.140625" style="65"/>
    <col min="15105" max="15105" width="5.7109375" style="65" customWidth="1"/>
    <col min="15106" max="15106" width="1.7109375" style="65" customWidth="1"/>
    <col min="15107" max="15107" width="3.7109375" style="65" customWidth="1"/>
    <col min="15108" max="15108" width="7.7109375" style="65" customWidth="1"/>
    <col min="15109" max="15110" width="3.7109375" style="65" customWidth="1"/>
    <col min="15111" max="15111" width="8.28515625" style="65" customWidth="1"/>
    <col min="15112" max="15112" width="3.7109375" style="65" customWidth="1"/>
    <col min="15113" max="15113" width="8.28515625" style="65" customWidth="1"/>
    <col min="15114" max="15114" width="7.7109375" style="65" customWidth="1"/>
    <col min="15115" max="15115" width="3.7109375" style="65" customWidth="1"/>
    <col min="15116" max="15116" width="7.7109375" style="65" customWidth="1"/>
    <col min="15117" max="15117" width="2.7109375" style="65" customWidth="1"/>
    <col min="15118" max="15118" width="10.7109375" style="65" customWidth="1"/>
    <col min="15119" max="15119" width="1.7109375" style="65" customWidth="1"/>
    <col min="15120" max="15121" width="5.7109375" style="65" customWidth="1"/>
    <col min="15122" max="15122" width="1.7109375" style="65" customWidth="1"/>
    <col min="15123" max="15123" width="3.7109375" style="65" customWidth="1"/>
    <col min="15124" max="15124" width="7.7109375" style="65" customWidth="1"/>
    <col min="15125" max="15126" width="3.7109375" style="65" customWidth="1"/>
    <col min="15127" max="15127" width="8.28515625" style="65" customWidth="1"/>
    <col min="15128" max="15128" width="3.7109375" style="65" customWidth="1"/>
    <col min="15129" max="15129" width="8.28515625" style="65" customWidth="1"/>
    <col min="15130" max="15130" width="7.7109375" style="65" customWidth="1"/>
    <col min="15131" max="15131" width="3.7109375" style="65" customWidth="1"/>
    <col min="15132" max="15132" width="7.7109375" style="65" customWidth="1"/>
    <col min="15133" max="15133" width="2.7109375" style="65" customWidth="1"/>
    <col min="15134" max="15134" width="10.7109375" style="65" customWidth="1"/>
    <col min="15135" max="15135" width="1.7109375" style="65" customWidth="1"/>
    <col min="15136" max="15136" width="5.7109375" style="65" customWidth="1"/>
    <col min="15137" max="15360" width="9.140625" style="65"/>
    <col min="15361" max="15361" width="5.7109375" style="65" customWidth="1"/>
    <col min="15362" max="15362" width="1.7109375" style="65" customWidth="1"/>
    <col min="15363" max="15363" width="3.7109375" style="65" customWidth="1"/>
    <col min="15364" max="15364" width="7.7109375" style="65" customWidth="1"/>
    <col min="15365" max="15366" width="3.7109375" style="65" customWidth="1"/>
    <col min="15367" max="15367" width="8.28515625" style="65" customWidth="1"/>
    <col min="15368" max="15368" width="3.7109375" style="65" customWidth="1"/>
    <col min="15369" max="15369" width="8.28515625" style="65" customWidth="1"/>
    <col min="15370" max="15370" width="7.7109375" style="65" customWidth="1"/>
    <col min="15371" max="15371" width="3.7109375" style="65" customWidth="1"/>
    <col min="15372" max="15372" width="7.7109375" style="65" customWidth="1"/>
    <col min="15373" max="15373" width="2.7109375" style="65" customWidth="1"/>
    <col min="15374" max="15374" width="10.7109375" style="65" customWidth="1"/>
    <col min="15375" max="15375" width="1.7109375" style="65" customWidth="1"/>
    <col min="15376" max="15377" width="5.7109375" style="65" customWidth="1"/>
    <col min="15378" max="15378" width="1.7109375" style="65" customWidth="1"/>
    <col min="15379" max="15379" width="3.7109375" style="65" customWidth="1"/>
    <col min="15380" max="15380" width="7.7109375" style="65" customWidth="1"/>
    <col min="15381" max="15382" width="3.7109375" style="65" customWidth="1"/>
    <col min="15383" max="15383" width="8.28515625" style="65" customWidth="1"/>
    <col min="15384" max="15384" width="3.7109375" style="65" customWidth="1"/>
    <col min="15385" max="15385" width="8.28515625" style="65" customWidth="1"/>
    <col min="15386" max="15386" width="7.7109375" style="65" customWidth="1"/>
    <col min="15387" max="15387" width="3.7109375" style="65" customWidth="1"/>
    <col min="15388" max="15388" width="7.7109375" style="65" customWidth="1"/>
    <col min="15389" max="15389" width="2.7109375" style="65" customWidth="1"/>
    <col min="15390" max="15390" width="10.7109375" style="65" customWidth="1"/>
    <col min="15391" max="15391" width="1.7109375" style="65" customWidth="1"/>
    <col min="15392" max="15392" width="5.7109375" style="65" customWidth="1"/>
    <col min="15393" max="15616" width="9.140625" style="65"/>
    <col min="15617" max="15617" width="5.7109375" style="65" customWidth="1"/>
    <col min="15618" max="15618" width="1.7109375" style="65" customWidth="1"/>
    <col min="15619" max="15619" width="3.7109375" style="65" customWidth="1"/>
    <col min="15620" max="15620" width="7.7109375" style="65" customWidth="1"/>
    <col min="15621" max="15622" width="3.7109375" style="65" customWidth="1"/>
    <col min="15623" max="15623" width="8.28515625" style="65" customWidth="1"/>
    <col min="15624" max="15624" width="3.7109375" style="65" customWidth="1"/>
    <col min="15625" max="15625" width="8.28515625" style="65" customWidth="1"/>
    <col min="15626" max="15626" width="7.7109375" style="65" customWidth="1"/>
    <col min="15627" max="15627" width="3.7109375" style="65" customWidth="1"/>
    <col min="15628" max="15628" width="7.7109375" style="65" customWidth="1"/>
    <col min="15629" max="15629" width="2.7109375" style="65" customWidth="1"/>
    <col min="15630" max="15630" width="10.7109375" style="65" customWidth="1"/>
    <col min="15631" max="15631" width="1.7109375" style="65" customWidth="1"/>
    <col min="15632" max="15633" width="5.7109375" style="65" customWidth="1"/>
    <col min="15634" max="15634" width="1.7109375" style="65" customWidth="1"/>
    <col min="15635" max="15635" width="3.7109375" style="65" customWidth="1"/>
    <col min="15636" max="15636" width="7.7109375" style="65" customWidth="1"/>
    <col min="15637" max="15638" width="3.7109375" style="65" customWidth="1"/>
    <col min="15639" max="15639" width="8.28515625" style="65" customWidth="1"/>
    <col min="15640" max="15640" width="3.7109375" style="65" customWidth="1"/>
    <col min="15641" max="15641" width="8.28515625" style="65" customWidth="1"/>
    <col min="15642" max="15642" width="7.7109375" style="65" customWidth="1"/>
    <col min="15643" max="15643" width="3.7109375" style="65" customWidth="1"/>
    <col min="15644" max="15644" width="7.7109375" style="65" customWidth="1"/>
    <col min="15645" max="15645" width="2.7109375" style="65" customWidth="1"/>
    <col min="15646" max="15646" width="10.7109375" style="65" customWidth="1"/>
    <col min="15647" max="15647" width="1.7109375" style="65" customWidth="1"/>
    <col min="15648" max="15648" width="5.7109375" style="65" customWidth="1"/>
    <col min="15649" max="15872" width="9.140625" style="65"/>
    <col min="15873" max="15873" width="5.7109375" style="65" customWidth="1"/>
    <col min="15874" max="15874" width="1.7109375" style="65" customWidth="1"/>
    <col min="15875" max="15875" width="3.7109375" style="65" customWidth="1"/>
    <col min="15876" max="15876" width="7.7109375" style="65" customWidth="1"/>
    <col min="15877" max="15878" width="3.7109375" style="65" customWidth="1"/>
    <col min="15879" max="15879" width="8.28515625" style="65" customWidth="1"/>
    <col min="15880" max="15880" width="3.7109375" style="65" customWidth="1"/>
    <col min="15881" max="15881" width="8.28515625" style="65" customWidth="1"/>
    <col min="15882" max="15882" width="7.7109375" style="65" customWidth="1"/>
    <col min="15883" max="15883" width="3.7109375" style="65" customWidth="1"/>
    <col min="15884" max="15884" width="7.7109375" style="65" customWidth="1"/>
    <col min="15885" max="15885" width="2.7109375" style="65" customWidth="1"/>
    <col min="15886" max="15886" width="10.7109375" style="65" customWidth="1"/>
    <col min="15887" max="15887" width="1.7109375" style="65" customWidth="1"/>
    <col min="15888" max="15889" width="5.7109375" style="65" customWidth="1"/>
    <col min="15890" max="15890" width="1.7109375" style="65" customWidth="1"/>
    <col min="15891" max="15891" width="3.7109375" style="65" customWidth="1"/>
    <col min="15892" max="15892" width="7.7109375" style="65" customWidth="1"/>
    <col min="15893" max="15894" width="3.7109375" style="65" customWidth="1"/>
    <col min="15895" max="15895" width="8.28515625" style="65" customWidth="1"/>
    <col min="15896" max="15896" width="3.7109375" style="65" customWidth="1"/>
    <col min="15897" max="15897" width="8.28515625" style="65" customWidth="1"/>
    <col min="15898" max="15898" width="7.7109375" style="65" customWidth="1"/>
    <col min="15899" max="15899" width="3.7109375" style="65" customWidth="1"/>
    <col min="15900" max="15900" width="7.7109375" style="65" customWidth="1"/>
    <col min="15901" max="15901" width="2.7109375" style="65" customWidth="1"/>
    <col min="15902" max="15902" width="10.7109375" style="65" customWidth="1"/>
    <col min="15903" max="15903" width="1.7109375" style="65" customWidth="1"/>
    <col min="15904" max="15904" width="5.7109375" style="65" customWidth="1"/>
    <col min="15905" max="16128" width="9.140625" style="65"/>
    <col min="16129" max="16129" width="5.7109375" style="65" customWidth="1"/>
    <col min="16130" max="16130" width="1.7109375" style="65" customWidth="1"/>
    <col min="16131" max="16131" width="3.7109375" style="65" customWidth="1"/>
    <col min="16132" max="16132" width="7.7109375" style="65" customWidth="1"/>
    <col min="16133" max="16134" width="3.7109375" style="65" customWidth="1"/>
    <col min="16135" max="16135" width="8.28515625" style="65" customWidth="1"/>
    <col min="16136" max="16136" width="3.7109375" style="65" customWidth="1"/>
    <col min="16137" max="16137" width="8.28515625" style="65" customWidth="1"/>
    <col min="16138" max="16138" width="7.7109375" style="65" customWidth="1"/>
    <col min="16139" max="16139" width="3.7109375" style="65" customWidth="1"/>
    <col min="16140" max="16140" width="7.7109375" style="65" customWidth="1"/>
    <col min="16141" max="16141" width="2.7109375" style="65" customWidth="1"/>
    <col min="16142" max="16142" width="10.7109375" style="65" customWidth="1"/>
    <col min="16143" max="16143" width="1.7109375" style="65" customWidth="1"/>
    <col min="16144" max="16145" width="5.7109375" style="65" customWidth="1"/>
    <col min="16146" max="16146" width="1.7109375" style="65" customWidth="1"/>
    <col min="16147" max="16147" width="3.7109375" style="65" customWidth="1"/>
    <col min="16148" max="16148" width="7.7109375" style="65" customWidth="1"/>
    <col min="16149" max="16150" width="3.7109375" style="65" customWidth="1"/>
    <col min="16151" max="16151" width="8.28515625" style="65" customWidth="1"/>
    <col min="16152" max="16152" width="3.7109375" style="65" customWidth="1"/>
    <col min="16153" max="16153" width="8.28515625" style="65" customWidth="1"/>
    <col min="16154" max="16154" width="7.7109375" style="65" customWidth="1"/>
    <col min="16155" max="16155" width="3.7109375" style="65" customWidth="1"/>
    <col min="16156" max="16156" width="7.7109375" style="65" customWidth="1"/>
    <col min="16157" max="16157" width="2.7109375" style="65" customWidth="1"/>
    <col min="16158" max="16158" width="10.7109375" style="65" customWidth="1"/>
    <col min="16159" max="16159" width="1.7109375" style="65" customWidth="1"/>
    <col min="16160" max="16160" width="5.7109375" style="65" customWidth="1"/>
    <col min="16161" max="16384" width="9.140625" style="65"/>
  </cols>
  <sheetData>
    <row r="1" spans="1:32" ht="19.5" customHeight="1" x14ac:dyDescent="0.25">
      <c r="I1" s="64" t="s">
        <v>14</v>
      </c>
      <c r="Q1" s="66"/>
      <c r="R1" s="66"/>
      <c r="S1" s="66"/>
      <c r="T1" s="66"/>
      <c r="U1" s="66"/>
      <c r="V1" s="66"/>
      <c r="W1" s="66"/>
      <c r="X1" s="66"/>
      <c r="Y1" s="67" t="s">
        <v>14</v>
      </c>
      <c r="Z1" s="66"/>
      <c r="AA1" s="66"/>
      <c r="AB1" s="66"/>
      <c r="AC1" s="66"/>
      <c r="AD1" s="66"/>
      <c r="AE1" s="66"/>
      <c r="AF1" s="68"/>
    </row>
    <row r="2" spans="1:32" ht="12.75" customHeight="1" x14ac:dyDescent="0.2">
      <c r="I2" s="69" t="s">
        <v>15</v>
      </c>
      <c r="Q2" s="66"/>
      <c r="R2" s="66"/>
      <c r="S2" s="66"/>
      <c r="T2" s="66"/>
      <c r="U2" s="66"/>
      <c r="V2" s="66"/>
      <c r="W2" s="66"/>
      <c r="X2" s="66"/>
      <c r="Y2" s="70" t="s">
        <v>15</v>
      </c>
      <c r="Z2" s="66"/>
      <c r="AA2" s="66"/>
      <c r="AB2" s="66"/>
      <c r="AC2" s="66"/>
      <c r="AD2" s="66"/>
      <c r="AE2" s="66"/>
      <c r="AF2" s="68"/>
    </row>
    <row r="3" spans="1:32" ht="12.75" customHeight="1" x14ac:dyDescent="0.2">
      <c r="I3" s="69" t="s">
        <v>16</v>
      </c>
      <c r="Q3" s="66"/>
      <c r="R3" s="66"/>
      <c r="S3" s="66"/>
      <c r="T3" s="66"/>
      <c r="U3" s="66"/>
      <c r="V3" s="66"/>
      <c r="W3" s="66"/>
      <c r="X3" s="66"/>
      <c r="Y3" s="70" t="s">
        <v>16</v>
      </c>
      <c r="Z3" s="66"/>
      <c r="AA3" s="66"/>
      <c r="AB3" s="66"/>
      <c r="AC3" s="66"/>
      <c r="AD3" s="66"/>
      <c r="AE3" s="66"/>
      <c r="AF3" s="68"/>
    </row>
    <row r="4" spans="1:32" ht="12.75" customHeight="1" x14ac:dyDescent="0.2">
      <c r="Q4" s="66"/>
      <c r="R4" s="66"/>
      <c r="S4" s="66"/>
      <c r="T4" s="66"/>
      <c r="U4" s="66"/>
      <c r="V4" s="66"/>
      <c r="W4" s="66"/>
      <c r="X4" s="66"/>
      <c r="Y4" s="66"/>
      <c r="Z4" s="66"/>
      <c r="AA4" s="66"/>
      <c r="AB4" s="66"/>
      <c r="AC4" s="66"/>
      <c r="AD4" s="66"/>
      <c r="AE4" s="66"/>
      <c r="AF4" s="68"/>
    </row>
    <row r="5" spans="1:32" ht="12.75" customHeight="1" x14ac:dyDescent="0.2">
      <c r="Q5" s="66"/>
      <c r="R5" s="66"/>
      <c r="S5" s="66"/>
      <c r="T5" s="66"/>
      <c r="U5" s="66"/>
      <c r="V5" s="66"/>
      <c r="W5" s="66"/>
      <c r="X5" s="66"/>
      <c r="Y5" s="66"/>
      <c r="Z5" s="66"/>
      <c r="AA5" s="66"/>
      <c r="AB5" s="66"/>
      <c r="AC5" s="66"/>
      <c r="AD5" s="66"/>
      <c r="AE5" s="66"/>
      <c r="AF5" s="68"/>
    </row>
    <row r="6" spans="1:32" ht="12.75" customHeight="1" x14ac:dyDescent="0.2">
      <c r="Q6" s="66"/>
      <c r="R6" s="66"/>
      <c r="S6" s="66"/>
      <c r="T6" s="66"/>
      <c r="U6" s="66"/>
      <c r="V6" s="66"/>
      <c r="W6" s="66"/>
      <c r="X6" s="66"/>
      <c r="Y6" s="66"/>
      <c r="Z6" s="66"/>
      <c r="AA6" s="66"/>
      <c r="AB6" s="66"/>
      <c r="AC6" s="66"/>
      <c r="AD6" s="66"/>
      <c r="AE6" s="66"/>
      <c r="AF6" s="68"/>
    </row>
    <row r="7" spans="1:32" ht="15" customHeight="1" x14ac:dyDescent="0.2">
      <c r="C7" s="71" t="s">
        <v>67</v>
      </c>
      <c r="L7" s="72" t="s">
        <v>17</v>
      </c>
      <c r="Q7" s="66"/>
      <c r="R7" s="66"/>
      <c r="S7" s="73" t="str">
        <f>C7</f>
        <v>G. H. Seow Transportation Pte Ltd</v>
      </c>
      <c r="T7" s="66"/>
      <c r="U7" s="66"/>
      <c r="V7" s="66"/>
      <c r="W7" s="66"/>
      <c r="X7" s="66"/>
      <c r="Y7" s="66"/>
      <c r="Z7" s="66"/>
      <c r="AA7" s="66"/>
      <c r="AB7" s="74" t="s">
        <v>17</v>
      </c>
      <c r="AC7" s="66"/>
      <c r="AD7" s="66"/>
      <c r="AE7" s="66"/>
      <c r="AF7" s="68"/>
    </row>
    <row r="8" spans="1:32" x14ac:dyDescent="0.2">
      <c r="C8" s="75" t="s">
        <v>68</v>
      </c>
      <c r="Q8" s="66"/>
      <c r="R8" s="66"/>
      <c r="S8" s="76" t="str">
        <f>C8</f>
        <v>21 Woodlands Close</v>
      </c>
      <c r="T8" s="66"/>
      <c r="U8" s="66"/>
      <c r="V8" s="66"/>
      <c r="W8" s="66"/>
      <c r="X8" s="66"/>
      <c r="Y8" s="66"/>
      <c r="Z8" s="66"/>
      <c r="AA8" s="66"/>
      <c r="AB8" s="66"/>
      <c r="AC8" s="66"/>
      <c r="AD8" s="66"/>
      <c r="AE8" s="66"/>
      <c r="AF8" s="68"/>
    </row>
    <row r="9" spans="1:32" x14ac:dyDescent="0.2">
      <c r="C9" s="75" t="s">
        <v>69</v>
      </c>
      <c r="L9" s="75" t="s">
        <v>18</v>
      </c>
      <c r="M9" s="136" t="s">
        <v>310</v>
      </c>
      <c r="Q9" s="66"/>
      <c r="R9" s="66"/>
      <c r="S9" s="76" t="str">
        <f>C9</f>
        <v>#08-41, Primz Bizhub</v>
      </c>
      <c r="T9" s="66"/>
      <c r="U9" s="66"/>
      <c r="V9" s="66"/>
      <c r="W9" s="66"/>
      <c r="X9" s="66"/>
      <c r="Y9" s="66"/>
      <c r="Z9" s="66"/>
      <c r="AA9" s="66"/>
      <c r="AB9" s="76" t="s">
        <v>18</v>
      </c>
      <c r="AC9" s="76" t="str">
        <f>M9</f>
        <v>DN202609-16</v>
      </c>
      <c r="AD9" s="66"/>
      <c r="AE9" s="66"/>
      <c r="AF9" s="68"/>
    </row>
    <row r="10" spans="1:32" x14ac:dyDescent="0.2">
      <c r="C10" s="75" t="s">
        <v>70</v>
      </c>
      <c r="Q10" s="66"/>
      <c r="R10" s="66"/>
      <c r="S10" s="76" t="str">
        <f>C10</f>
        <v>Singapore 737854</v>
      </c>
      <c r="T10" s="66"/>
      <c r="U10" s="66"/>
      <c r="V10" s="66"/>
      <c r="W10" s="66"/>
      <c r="X10" s="66"/>
      <c r="Y10" s="66"/>
      <c r="Z10" s="66"/>
      <c r="AA10" s="66"/>
      <c r="AB10" s="66"/>
      <c r="AC10" s="66"/>
      <c r="AD10" s="66"/>
      <c r="AE10" s="66"/>
      <c r="AF10" s="68"/>
    </row>
    <row r="11" spans="1:32" x14ac:dyDescent="0.2">
      <c r="C11" s="75"/>
      <c r="Q11" s="66"/>
      <c r="R11" s="66"/>
      <c r="S11" s="76"/>
      <c r="T11" s="66"/>
      <c r="U11" s="66"/>
      <c r="V11" s="66"/>
      <c r="W11" s="66"/>
      <c r="X11" s="66"/>
      <c r="Y11" s="66"/>
      <c r="Z11" s="66"/>
      <c r="AA11" s="66"/>
      <c r="AB11" s="66"/>
      <c r="AC11" s="66"/>
      <c r="AD11" s="66"/>
      <c r="AE11" s="66"/>
      <c r="AF11" s="68"/>
    </row>
    <row r="12" spans="1:32" x14ac:dyDescent="0.2">
      <c r="C12" s="75"/>
      <c r="L12" s="135" t="s">
        <v>19</v>
      </c>
      <c r="M12" s="144">
        <v>3</v>
      </c>
      <c r="N12" s="145">
        <v>46290</v>
      </c>
      <c r="Q12" s="66"/>
      <c r="R12" s="66"/>
      <c r="S12" s="76"/>
      <c r="T12" s="66"/>
      <c r="U12" s="66"/>
      <c r="V12" s="66"/>
      <c r="W12" s="66"/>
      <c r="X12" s="66"/>
      <c r="Y12" s="66"/>
      <c r="Z12" s="66"/>
      <c r="AA12" s="66"/>
      <c r="AB12" s="140" t="s">
        <v>19</v>
      </c>
      <c r="AC12" s="77">
        <f>M12</f>
        <v>3</v>
      </c>
      <c r="AD12" s="151">
        <f>N12</f>
        <v>46290</v>
      </c>
      <c r="AE12" s="66"/>
      <c r="AF12" s="68"/>
    </row>
    <row r="13" spans="1:32" ht="12.75" customHeight="1" x14ac:dyDescent="0.2">
      <c r="Q13" s="66"/>
      <c r="R13" s="66"/>
      <c r="S13" s="66"/>
      <c r="T13" s="66"/>
      <c r="U13" s="66"/>
      <c r="V13" s="66"/>
      <c r="W13" s="66"/>
      <c r="X13" s="66"/>
      <c r="Y13" s="66"/>
      <c r="Z13" s="66"/>
      <c r="AA13" s="66"/>
      <c r="AB13" s="66"/>
      <c r="AC13" s="66"/>
      <c r="AD13" s="66"/>
      <c r="AE13" s="66"/>
      <c r="AF13" s="68"/>
    </row>
    <row r="14" spans="1:32" ht="12.75" customHeight="1" thickBot="1" x14ac:dyDescent="0.25">
      <c r="A14" s="78"/>
      <c r="B14" s="78"/>
      <c r="C14" s="78"/>
      <c r="D14" s="78"/>
      <c r="E14" s="78"/>
      <c r="F14" s="78"/>
      <c r="G14" s="78"/>
      <c r="H14" s="78"/>
      <c r="I14" s="78"/>
      <c r="J14" s="78"/>
      <c r="K14" s="78"/>
      <c r="L14" s="78"/>
      <c r="O14" s="78"/>
      <c r="P14" s="79"/>
      <c r="Q14" s="80"/>
      <c r="R14" s="80"/>
      <c r="S14" s="80"/>
      <c r="T14" s="80"/>
      <c r="U14" s="80"/>
      <c r="V14" s="80"/>
      <c r="W14" s="80"/>
      <c r="X14" s="80"/>
      <c r="Y14" s="80"/>
      <c r="Z14" s="80"/>
      <c r="AA14" s="80"/>
      <c r="AB14" s="80"/>
      <c r="AC14" s="66"/>
      <c r="AD14" s="66"/>
      <c r="AE14" s="80"/>
      <c r="AF14" s="81"/>
    </row>
    <row r="15" spans="1:32" ht="12.75" customHeight="1" x14ac:dyDescent="0.2">
      <c r="A15" s="82"/>
      <c r="M15" s="83"/>
      <c r="N15" s="83"/>
      <c r="O15" s="84"/>
      <c r="Q15" s="85"/>
      <c r="R15" s="66"/>
      <c r="S15" s="66"/>
      <c r="T15" s="66"/>
      <c r="U15" s="66"/>
      <c r="V15" s="66"/>
      <c r="W15" s="66"/>
      <c r="X15" s="66"/>
      <c r="Y15" s="66"/>
      <c r="Z15" s="66"/>
      <c r="AA15" s="66"/>
      <c r="AB15" s="66"/>
      <c r="AC15" s="86"/>
      <c r="AD15" s="86"/>
      <c r="AE15" s="87"/>
      <c r="AF15" s="68"/>
    </row>
    <row r="16" spans="1:32" ht="12.75" customHeight="1" x14ac:dyDescent="0.2">
      <c r="A16" s="84"/>
      <c r="O16" s="84"/>
      <c r="Q16" s="87"/>
      <c r="R16" s="66"/>
      <c r="S16" s="66"/>
      <c r="T16" s="66"/>
      <c r="U16" s="66"/>
      <c r="V16" s="66"/>
      <c r="W16" s="66"/>
      <c r="X16" s="66"/>
      <c r="Y16" s="66"/>
      <c r="Z16" s="66"/>
      <c r="AA16" s="66"/>
      <c r="AB16" s="66"/>
      <c r="AC16" s="66"/>
      <c r="AD16" s="66"/>
      <c r="AE16" s="87"/>
      <c r="AF16" s="68"/>
    </row>
    <row r="17" spans="1:32" ht="12.75" customHeight="1" x14ac:dyDescent="0.2">
      <c r="A17" s="84"/>
      <c r="O17" s="84"/>
      <c r="Q17" s="87"/>
      <c r="R17" s="66"/>
      <c r="S17" s="66"/>
      <c r="T17" s="66"/>
      <c r="U17" s="66"/>
      <c r="V17" s="66"/>
      <c r="W17" s="66"/>
      <c r="X17" s="66"/>
      <c r="Y17" s="66"/>
      <c r="Z17" s="66"/>
      <c r="AA17" s="66"/>
      <c r="AB17" s="66"/>
      <c r="AC17" s="66"/>
      <c r="AD17" s="66"/>
      <c r="AE17" s="87"/>
      <c r="AF17" s="68"/>
    </row>
    <row r="18" spans="1:32" x14ac:dyDescent="0.2">
      <c r="A18" s="84"/>
      <c r="C18" s="75" t="s">
        <v>135</v>
      </c>
      <c r="E18" s="75"/>
      <c r="F18" s="75"/>
      <c r="G18" s="75"/>
      <c r="H18" s="75"/>
      <c r="I18" s="75"/>
      <c r="L18" s="75"/>
      <c r="M18" s="75"/>
      <c r="N18" s="88"/>
      <c r="O18" s="89"/>
      <c r="Q18" s="87"/>
      <c r="R18" s="66"/>
      <c r="S18" s="76" t="str">
        <f>C18</f>
        <v>Your half share of forklift charges as billed by Jesselton Shipping (2012) Pte Ltd</v>
      </c>
      <c r="T18" s="66"/>
      <c r="U18" s="76"/>
      <c r="V18" s="76"/>
      <c r="W18" s="76"/>
      <c r="X18" s="76"/>
      <c r="Y18" s="76"/>
      <c r="Z18" s="66"/>
      <c r="AA18" s="66"/>
      <c r="AB18" s="76"/>
      <c r="AC18" s="76"/>
      <c r="AD18" s="90"/>
      <c r="AE18" s="91"/>
      <c r="AF18" s="68"/>
    </row>
    <row r="19" spans="1:32" x14ac:dyDescent="0.2">
      <c r="A19" s="84"/>
      <c r="E19" s="75"/>
      <c r="F19" s="75"/>
      <c r="G19" s="75"/>
      <c r="H19" s="75"/>
      <c r="I19" s="75"/>
      <c r="L19" s="75"/>
      <c r="M19" s="75"/>
      <c r="N19" s="88"/>
      <c r="O19" s="89"/>
      <c r="Q19" s="87"/>
      <c r="R19" s="66"/>
      <c r="S19" s="76"/>
      <c r="T19" s="66"/>
      <c r="U19" s="76"/>
      <c r="V19" s="76"/>
      <c r="W19" s="76"/>
      <c r="X19" s="76"/>
      <c r="Y19" s="76"/>
      <c r="Z19" s="76"/>
      <c r="AA19" s="66"/>
      <c r="AB19" s="76"/>
      <c r="AC19" s="76"/>
      <c r="AD19" s="90"/>
      <c r="AE19" s="91"/>
      <c r="AF19" s="68"/>
    </row>
    <row r="20" spans="1:32" x14ac:dyDescent="0.2">
      <c r="A20" s="84"/>
      <c r="C20" s="137" t="s">
        <v>311</v>
      </c>
      <c r="E20" s="75"/>
      <c r="F20" s="75"/>
      <c r="G20" s="75"/>
      <c r="H20" s="225">
        <v>2485.1999999999998</v>
      </c>
      <c r="I20" s="226"/>
      <c r="L20" s="75"/>
      <c r="M20" s="75" t="s">
        <v>20</v>
      </c>
      <c r="N20" s="131">
        <f>H20/2</f>
        <v>1242.5999999999999</v>
      </c>
      <c r="O20" s="89"/>
      <c r="Q20" s="87"/>
      <c r="R20" s="66"/>
      <c r="S20" s="76" t="str">
        <f>C20</f>
        <v xml:space="preserve">Invoice No. INV2608/020 -  S$ </v>
      </c>
      <c r="T20" s="66"/>
      <c r="U20" s="76"/>
      <c r="V20" s="76"/>
      <c r="W20" s="76"/>
      <c r="X20" s="227">
        <f>H20</f>
        <v>2485.1999999999998</v>
      </c>
      <c r="Y20" s="227"/>
      <c r="Z20" s="66"/>
      <c r="AA20" s="66"/>
      <c r="AB20" s="76"/>
      <c r="AC20" s="76" t="s">
        <v>20</v>
      </c>
      <c r="AD20" s="90">
        <f>N20</f>
        <v>1242.5999999999999</v>
      </c>
      <c r="AE20" s="91"/>
      <c r="AF20" s="68"/>
    </row>
    <row r="21" spans="1:32" x14ac:dyDescent="0.2">
      <c r="A21" s="84"/>
      <c r="C21" s="152" t="s">
        <v>312</v>
      </c>
      <c r="D21" s="75"/>
      <c r="E21" s="75"/>
      <c r="F21" s="75"/>
      <c r="G21" s="75"/>
      <c r="H21" s="75"/>
      <c r="I21" s="75"/>
      <c r="J21" s="75"/>
      <c r="L21" s="75"/>
      <c r="M21" s="75"/>
      <c r="N21" s="88"/>
      <c r="O21" s="89"/>
      <c r="Q21" s="87"/>
      <c r="R21" s="66"/>
      <c r="S21" s="76" t="str">
        <f>C21</f>
        <v>(Aug 2026)</v>
      </c>
      <c r="T21" s="76"/>
      <c r="U21" s="76"/>
      <c r="V21" s="76"/>
      <c r="W21" s="76"/>
      <c r="X21" s="76"/>
      <c r="Y21" s="76"/>
      <c r="Z21" s="76"/>
      <c r="AA21" s="66"/>
      <c r="AB21" s="76"/>
      <c r="AC21" s="76"/>
      <c r="AD21" s="90"/>
      <c r="AE21" s="91"/>
      <c r="AF21" s="68"/>
    </row>
    <row r="22" spans="1:32" x14ac:dyDescent="0.2">
      <c r="A22" s="84"/>
      <c r="C22" s="152"/>
      <c r="D22" s="75"/>
      <c r="E22" s="75"/>
      <c r="F22" s="75"/>
      <c r="G22" s="75"/>
      <c r="H22" s="75"/>
      <c r="I22" s="75"/>
      <c r="J22" s="75"/>
      <c r="L22" s="75"/>
      <c r="M22" s="75"/>
      <c r="N22" s="88"/>
      <c r="O22" s="89"/>
      <c r="Q22" s="87"/>
      <c r="R22" s="66"/>
      <c r="S22" s="228"/>
      <c r="T22" s="228"/>
      <c r="U22" s="228"/>
      <c r="V22" s="228"/>
      <c r="W22" s="228"/>
      <c r="X22" s="228"/>
      <c r="Y22" s="228"/>
      <c r="Z22" s="76"/>
      <c r="AA22" s="66"/>
      <c r="AB22" s="76"/>
      <c r="AC22" s="76"/>
      <c r="AD22" s="90"/>
      <c r="AE22" s="91"/>
      <c r="AF22" s="68"/>
    </row>
    <row r="23" spans="1:32" x14ac:dyDescent="0.2">
      <c r="A23" s="84"/>
      <c r="C23" s="152"/>
      <c r="E23" s="75"/>
      <c r="F23" s="75"/>
      <c r="G23" s="75"/>
      <c r="H23" s="75"/>
      <c r="I23" s="75"/>
      <c r="L23" s="75"/>
      <c r="M23" s="75"/>
      <c r="N23" s="88"/>
      <c r="O23" s="89"/>
      <c r="Q23" s="87"/>
      <c r="R23" s="66"/>
      <c r="S23" s="93"/>
      <c r="T23" s="76"/>
      <c r="U23" s="76"/>
      <c r="V23" s="76"/>
      <c r="W23" s="76"/>
      <c r="X23" s="76"/>
      <c r="Y23" s="76"/>
      <c r="Z23" s="76"/>
      <c r="AA23" s="66"/>
      <c r="AB23" s="76"/>
      <c r="AC23" s="76"/>
      <c r="AD23" s="90"/>
      <c r="AE23" s="91"/>
      <c r="AF23" s="68"/>
    </row>
    <row r="24" spans="1:32" x14ac:dyDescent="0.2">
      <c r="A24" s="84"/>
      <c r="C24" s="92"/>
      <c r="D24" s="75"/>
      <c r="E24" s="75"/>
      <c r="F24" s="75"/>
      <c r="G24" s="75"/>
      <c r="H24" s="75"/>
      <c r="I24" s="75"/>
      <c r="J24" s="75"/>
      <c r="L24" s="75"/>
      <c r="M24" s="75"/>
      <c r="N24" s="88"/>
      <c r="O24" s="89"/>
      <c r="Q24" s="87"/>
      <c r="R24" s="66"/>
      <c r="S24" s="93"/>
      <c r="T24" s="76"/>
      <c r="U24" s="76"/>
      <c r="V24" s="76"/>
      <c r="W24" s="76"/>
      <c r="X24" s="76"/>
      <c r="Y24" s="76"/>
      <c r="Z24" s="76"/>
      <c r="AA24" s="66"/>
      <c r="AB24" s="76"/>
      <c r="AC24" s="76"/>
      <c r="AD24" s="90"/>
      <c r="AE24" s="91"/>
      <c r="AF24" s="68"/>
    </row>
    <row r="25" spans="1:32" x14ac:dyDescent="0.2">
      <c r="A25" s="84"/>
      <c r="D25" s="75"/>
      <c r="E25" s="75"/>
      <c r="F25" s="75"/>
      <c r="G25" s="75"/>
      <c r="H25" s="75"/>
      <c r="I25" s="75"/>
      <c r="J25" s="75"/>
      <c r="K25" s="75"/>
      <c r="L25" s="75"/>
      <c r="M25" s="94"/>
      <c r="N25" s="95"/>
      <c r="O25" s="89"/>
      <c r="Q25" s="87"/>
      <c r="R25" s="66"/>
      <c r="S25" s="66"/>
      <c r="T25" s="76"/>
      <c r="U25" s="76"/>
      <c r="V25" s="76"/>
      <c r="W25" s="76"/>
      <c r="X25" s="76"/>
      <c r="Y25" s="76"/>
      <c r="Z25" s="76"/>
      <c r="AA25" s="76"/>
      <c r="AB25" s="76"/>
      <c r="AC25" s="96"/>
      <c r="AD25" s="97"/>
      <c r="AE25" s="91"/>
      <c r="AF25" s="68"/>
    </row>
    <row r="26" spans="1:32" ht="10.15" customHeight="1" x14ac:dyDescent="0.2">
      <c r="A26" s="84"/>
      <c r="D26" s="75"/>
      <c r="E26" s="75"/>
      <c r="F26" s="75"/>
      <c r="G26" s="75"/>
      <c r="H26" s="75"/>
      <c r="I26" s="75"/>
      <c r="J26" s="75"/>
      <c r="K26" s="75"/>
      <c r="L26" s="75"/>
      <c r="M26" s="75"/>
      <c r="N26" s="88"/>
      <c r="O26" s="89"/>
      <c r="Q26" s="87"/>
      <c r="R26" s="66"/>
      <c r="S26" s="66"/>
      <c r="T26" s="76"/>
      <c r="U26" s="76"/>
      <c r="V26" s="76"/>
      <c r="W26" s="76"/>
      <c r="X26" s="76"/>
      <c r="Y26" s="76"/>
      <c r="Z26" s="76"/>
      <c r="AA26" s="76"/>
      <c r="AB26" s="76"/>
      <c r="AC26" s="76"/>
      <c r="AD26" s="90"/>
      <c r="AE26" s="91"/>
      <c r="AF26" s="68"/>
    </row>
    <row r="27" spans="1:32" x14ac:dyDescent="0.2">
      <c r="A27" s="84"/>
      <c r="D27" s="75"/>
      <c r="E27" s="75"/>
      <c r="F27" s="75"/>
      <c r="G27" s="75"/>
      <c r="H27" s="75"/>
      <c r="I27" s="75"/>
      <c r="J27" s="75"/>
      <c r="K27" s="75"/>
      <c r="L27" s="75"/>
      <c r="M27" s="75" t="s">
        <v>20</v>
      </c>
      <c r="N27" s="88">
        <f>SUM(N20:N25)</f>
        <v>1242.5999999999999</v>
      </c>
      <c r="O27" s="89"/>
      <c r="Q27" s="87"/>
      <c r="R27" s="66"/>
      <c r="S27" s="66"/>
      <c r="T27" s="76"/>
      <c r="U27" s="76"/>
      <c r="V27" s="76"/>
      <c r="W27" s="76"/>
      <c r="X27" s="76"/>
      <c r="Y27" s="76"/>
      <c r="Z27" s="76"/>
      <c r="AA27" s="76"/>
      <c r="AB27" s="76"/>
      <c r="AC27" s="76" t="s">
        <v>20</v>
      </c>
      <c r="AD27" s="90">
        <f>SUM(AD20:AD25)</f>
        <v>1242.5999999999999</v>
      </c>
      <c r="AE27" s="91"/>
      <c r="AF27" s="68"/>
    </row>
    <row r="28" spans="1:32" ht="10.15" customHeight="1" thickBot="1" x14ac:dyDescent="0.25">
      <c r="A28" s="84"/>
      <c r="D28" s="75"/>
      <c r="E28" s="75"/>
      <c r="F28" s="75"/>
      <c r="G28" s="75"/>
      <c r="H28" s="75"/>
      <c r="I28" s="75"/>
      <c r="J28" s="75"/>
      <c r="K28" s="75"/>
      <c r="L28" s="75"/>
      <c r="M28" s="98"/>
      <c r="N28" s="98"/>
      <c r="O28" s="99"/>
      <c r="Q28" s="87"/>
      <c r="R28" s="66"/>
      <c r="S28" s="66"/>
      <c r="T28" s="76"/>
      <c r="U28" s="76"/>
      <c r="V28" s="76"/>
      <c r="W28" s="76"/>
      <c r="X28" s="76"/>
      <c r="Y28" s="76"/>
      <c r="Z28" s="76"/>
      <c r="AA28" s="76"/>
      <c r="AB28" s="76"/>
      <c r="AC28" s="100"/>
      <c r="AD28" s="100"/>
      <c r="AE28" s="101"/>
      <c r="AF28" s="68"/>
    </row>
    <row r="29" spans="1:32" ht="10.15" customHeight="1" thickTop="1" x14ac:dyDescent="0.2">
      <c r="A29" s="84"/>
      <c r="D29" s="75"/>
      <c r="E29" s="75"/>
      <c r="F29" s="75"/>
      <c r="G29" s="75"/>
      <c r="H29" s="75"/>
      <c r="I29" s="75"/>
      <c r="J29" s="75"/>
      <c r="K29" s="75"/>
      <c r="L29" s="75"/>
      <c r="M29" s="75"/>
      <c r="N29" s="75"/>
      <c r="O29" s="99"/>
      <c r="Q29" s="87"/>
      <c r="R29" s="66"/>
      <c r="S29" s="66"/>
      <c r="T29" s="76"/>
      <c r="U29" s="76"/>
      <c r="V29" s="76"/>
      <c r="W29" s="76"/>
      <c r="X29" s="76"/>
      <c r="Y29" s="76"/>
      <c r="Z29" s="76"/>
      <c r="AA29" s="76"/>
      <c r="AB29" s="76"/>
      <c r="AC29" s="76"/>
      <c r="AD29" s="76"/>
      <c r="AE29" s="101"/>
      <c r="AF29" s="68"/>
    </row>
    <row r="30" spans="1:32" ht="10.15" customHeight="1" x14ac:dyDescent="0.2">
      <c r="A30" s="84"/>
      <c r="D30" s="75"/>
      <c r="E30" s="75"/>
      <c r="F30" s="75"/>
      <c r="G30" s="75"/>
      <c r="H30" s="75"/>
      <c r="I30" s="75"/>
      <c r="J30" s="75"/>
      <c r="K30" s="75"/>
      <c r="L30" s="75"/>
      <c r="M30" s="75"/>
      <c r="N30" s="75"/>
      <c r="O30" s="99"/>
      <c r="Q30" s="87"/>
      <c r="R30" s="66"/>
      <c r="S30" s="66"/>
      <c r="T30" s="76"/>
      <c r="U30" s="76"/>
      <c r="V30" s="76"/>
      <c r="W30" s="76"/>
      <c r="X30" s="76"/>
      <c r="Y30" s="76"/>
      <c r="Z30" s="76"/>
      <c r="AA30" s="76"/>
      <c r="AB30" s="76"/>
      <c r="AC30" s="76"/>
      <c r="AD30" s="76"/>
      <c r="AE30" s="101"/>
      <c r="AF30" s="68"/>
    </row>
    <row r="31" spans="1:32" ht="10.15" customHeight="1" x14ac:dyDescent="0.2">
      <c r="A31" s="84"/>
      <c r="D31" s="75"/>
      <c r="E31" s="75"/>
      <c r="F31" s="75"/>
      <c r="G31" s="75"/>
      <c r="H31" s="75"/>
      <c r="I31" s="75"/>
      <c r="J31" s="75"/>
      <c r="K31" s="75"/>
      <c r="L31" s="75"/>
      <c r="M31" s="75"/>
      <c r="N31" s="75"/>
      <c r="O31" s="99"/>
      <c r="Q31" s="87"/>
      <c r="R31" s="66"/>
      <c r="S31" s="66"/>
      <c r="T31" s="76"/>
      <c r="U31" s="76"/>
      <c r="V31" s="76"/>
      <c r="W31" s="76"/>
      <c r="X31" s="76"/>
      <c r="Y31" s="76"/>
      <c r="Z31" s="76"/>
      <c r="AA31" s="76"/>
      <c r="AB31" s="76"/>
      <c r="AC31" s="76"/>
      <c r="AD31" s="76"/>
      <c r="AE31" s="101"/>
      <c r="AF31" s="68"/>
    </row>
    <row r="32" spans="1:32" ht="12.75" customHeight="1" x14ac:dyDescent="0.2">
      <c r="A32" s="84"/>
      <c r="D32" s="75"/>
      <c r="E32" s="75"/>
      <c r="F32" s="75"/>
      <c r="G32" s="75"/>
      <c r="H32" s="75"/>
      <c r="I32" s="75"/>
      <c r="J32" s="75"/>
      <c r="K32" s="75"/>
      <c r="L32" s="75"/>
      <c r="M32" s="75"/>
      <c r="N32" s="75"/>
      <c r="O32" s="99"/>
      <c r="Q32" s="87"/>
      <c r="R32" s="66"/>
      <c r="S32" s="66"/>
      <c r="T32" s="76"/>
      <c r="U32" s="76"/>
      <c r="V32" s="76"/>
      <c r="W32" s="76"/>
      <c r="X32" s="76"/>
      <c r="Y32" s="76"/>
      <c r="Z32" s="76"/>
      <c r="AA32" s="76"/>
      <c r="AB32" s="76"/>
      <c r="AC32" s="76"/>
      <c r="AD32" s="76"/>
      <c r="AE32" s="101"/>
      <c r="AF32" s="68"/>
    </row>
    <row r="33" spans="1:32" x14ac:dyDescent="0.2">
      <c r="A33" s="84"/>
      <c r="C33" s="75" t="s">
        <v>21</v>
      </c>
      <c r="E33" s="75"/>
      <c r="F33" s="148" t="s">
        <v>313</v>
      </c>
      <c r="G33" s="75"/>
      <c r="H33" s="75"/>
      <c r="I33" s="75"/>
      <c r="J33" s="75"/>
      <c r="K33" s="75"/>
      <c r="L33" s="75"/>
      <c r="M33" s="75"/>
      <c r="N33" s="75"/>
      <c r="O33" s="99"/>
      <c r="Q33" s="87"/>
      <c r="R33" s="66"/>
      <c r="S33" s="76" t="str">
        <f>C33</f>
        <v>Singapore Dollars</v>
      </c>
      <c r="T33" s="66"/>
      <c r="U33" s="76"/>
      <c r="V33" s="76" t="str">
        <f>F33</f>
        <v>One Thousand Two Hundred Forty Two and cents Sixty only</v>
      </c>
      <c r="W33" s="76"/>
      <c r="X33" s="76"/>
      <c r="Y33" s="76"/>
      <c r="Z33" s="76"/>
      <c r="AA33" s="76"/>
      <c r="AB33" s="76"/>
      <c r="AC33" s="76"/>
      <c r="AD33" s="76"/>
      <c r="AE33" s="101"/>
      <c r="AF33" s="68"/>
    </row>
    <row r="34" spans="1:32" ht="12.75" customHeight="1" x14ac:dyDescent="0.2">
      <c r="A34" s="84"/>
      <c r="D34" s="75"/>
      <c r="E34" s="75"/>
      <c r="F34" s="75"/>
      <c r="G34" s="75"/>
      <c r="H34" s="75"/>
      <c r="I34" s="75"/>
      <c r="J34" s="75"/>
      <c r="K34" s="75"/>
      <c r="L34" s="75"/>
      <c r="M34" s="75"/>
      <c r="N34" s="75"/>
      <c r="O34" s="99"/>
      <c r="Q34" s="87"/>
      <c r="R34" s="66"/>
      <c r="S34" s="66"/>
      <c r="T34" s="76"/>
      <c r="U34" s="76"/>
      <c r="V34" s="76"/>
      <c r="W34" s="76"/>
      <c r="X34" s="76"/>
      <c r="Y34" s="76"/>
      <c r="Z34" s="76"/>
      <c r="AA34" s="76"/>
      <c r="AB34" s="76"/>
      <c r="AC34" s="76"/>
      <c r="AD34" s="76"/>
      <c r="AE34" s="101"/>
      <c r="AF34" s="68"/>
    </row>
    <row r="35" spans="1:32" ht="12.75" customHeight="1" x14ac:dyDescent="0.2">
      <c r="A35" s="84"/>
      <c r="O35" s="84"/>
      <c r="Q35" s="87"/>
      <c r="R35" s="66"/>
      <c r="S35" s="66"/>
      <c r="T35" s="66"/>
      <c r="U35" s="66"/>
      <c r="V35" s="66"/>
      <c r="W35" s="66"/>
      <c r="X35" s="66"/>
      <c r="Y35" s="66"/>
      <c r="Z35" s="66"/>
      <c r="AA35" s="66"/>
      <c r="AB35" s="66"/>
      <c r="AC35" s="66"/>
      <c r="AD35" s="66"/>
      <c r="AE35" s="87"/>
      <c r="AF35" s="68"/>
    </row>
    <row r="36" spans="1:32" ht="12.75" customHeight="1" x14ac:dyDescent="0.2">
      <c r="A36" s="84"/>
      <c r="O36" s="84"/>
      <c r="Q36" s="87"/>
      <c r="R36" s="66"/>
      <c r="S36" s="66"/>
      <c r="T36" s="66"/>
      <c r="U36" s="66"/>
      <c r="V36" s="66"/>
      <c r="W36" s="66"/>
      <c r="X36" s="66"/>
      <c r="Y36" s="66"/>
      <c r="Z36" s="66"/>
      <c r="AA36" s="66"/>
      <c r="AB36" s="66"/>
      <c r="AC36" s="66"/>
      <c r="AD36" s="66"/>
      <c r="AE36" s="87"/>
      <c r="AF36" s="68"/>
    </row>
    <row r="37" spans="1:32" ht="12.75" customHeight="1" x14ac:dyDescent="0.2">
      <c r="A37" s="84"/>
      <c r="C37" s="63" t="s">
        <v>22</v>
      </c>
      <c r="O37" s="84"/>
      <c r="Q37" s="87"/>
      <c r="R37" s="66"/>
      <c r="S37" s="66" t="str">
        <f>C37</f>
        <v xml:space="preserve">Payment to be made to DINAMIK SHIPPING PTE LTD by local cheque in Singapore Dollars </v>
      </c>
      <c r="T37" s="66"/>
      <c r="U37" s="66"/>
      <c r="V37" s="66"/>
      <c r="W37" s="66"/>
      <c r="X37" s="66"/>
      <c r="Y37" s="66"/>
      <c r="Z37" s="66"/>
      <c r="AA37" s="66"/>
      <c r="AB37" s="66"/>
      <c r="AC37" s="66"/>
      <c r="AD37" s="66"/>
      <c r="AE37" s="87"/>
      <c r="AF37" s="68"/>
    </row>
    <row r="38" spans="1:32" ht="12.75" customHeight="1" x14ac:dyDescent="0.2">
      <c r="A38" s="84"/>
      <c r="O38" s="84"/>
      <c r="Q38" s="87"/>
      <c r="R38" s="66"/>
      <c r="S38" s="66"/>
      <c r="T38" s="66"/>
      <c r="U38" s="66"/>
      <c r="V38" s="66"/>
      <c r="W38" s="66"/>
      <c r="X38" s="66"/>
      <c r="Y38" s="66"/>
      <c r="Z38" s="66"/>
      <c r="AA38" s="66"/>
      <c r="AB38" s="66"/>
      <c r="AC38" s="66"/>
      <c r="AD38" s="66"/>
      <c r="AE38" s="87"/>
      <c r="AF38" s="68"/>
    </row>
    <row r="39" spans="1:32" ht="12.75" customHeight="1" x14ac:dyDescent="0.2">
      <c r="Q39" s="66"/>
      <c r="R39" s="66"/>
      <c r="S39" s="66"/>
      <c r="T39" s="66"/>
      <c r="U39" s="66"/>
      <c r="V39" s="66"/>
      <c r="W39" s="66"/>
      <c r="X39" s="66"/>
      <c r="Y39" s="66"/>
      <c r="Z39" s="66"/>
      <c r="AA39" s="66"/>
      <c r="AB39" s="66"/>
      <c r="AC39" s="66"/>
      <c r="AD39" s="66"/>
      <c r="AE39" s="66"/>
      <c r="AF39" s="68"/>
    </row>
    <row r="40" spans="1:32" ht="12.75" customHeight="1" x14ac:dyDescent="0.2">
      <c r="Q40" s="66"/>
      <c r="R40" s="66"/>
      <c r="S40" s="66"/>
      <c r="T40" s="66"/>
      <c r="U40" s="66"/>
      <c r="V40" s="66"/>
      <c r="W40" s="66"/>
      <c r="X40" s="66"/>
      <c r="Y40" s="66"/>
      <c r="Z40" s="66"/>
      <c r="AA40" s="66"/>
      <c r="AB40" s="66"/>
      <c r="AC40" s="66"/>
      <c r="AD40" s="66"/>
      <c r="AE40" s="66"/>
      <c r="AF40" s="68"/>
    </row>
    <row r="41" spans="1:32" ht="12.75" customHeight="1" x14ac:dyDescent="0.2">
      <c r="Q41" s="66"/>
      <c r="R41" s="66"/>
      <c r="S41" s="66"/>
      <c r="T41" s="66"/>
      <c r="U41" s="66"/>
      <c r="V41" s="66"/>
      <c r="W41" s="66"/>
      <c r="X41" s="66"/>
      <c r="Y41" s="66"/>
      <c r="Z41" s="66"/>
      <c r="AA41" s="66"/>
      <c r="AB41" s="66"/>
      <c r="AC41" s="66"/>
      <c r="AD41" s="66"/>
      <c r="AE41" s="66"/>
      <c r="AF41" s="68"/>
    </row>
    <row r="42" spans="1:32" ht="12.75" customHeight="1" x14ac:dyDescent="0.2">
      <c r="D42" s="102"/>
      <c r="Q42" s="66"/>
      <c r="R42" s="66"/>
      <c r="S42" s="66"/>
      <c r="T42" s="103"/>
      <c r="U42" s="66"/>
      <c r="V42" s="66"/>
      <c r="W42" s="66"/>
      <c r="X42" s="66"/>
      <c r="Y42" s="66"/>
      <c r="Z42" s="66"/>
      <c r="AA42" s="66"/>
      <c r="AB42" s="66"/>
      <c r="AC42" s="66"/>
      <c r="AD42" s="66"/>
      <c r="AE42" s="66"/>
      <c r="AF42" s="68"/>
    </row>
    <row r="43" spans="1:32" ht="12.75" customHeight="1" x14ac:dyDescent="0.2">
      <c r="Q43" s="66"/>
      <c r="R43" s="66"/>
      <c r="S43" s="66"/>
      <c r="T43" s="66"/>
      <c r="U43" s="66"/>
      <c r="V43" s="66"/>
      <c r="W43" s="66"/>
      <c r="X43" s="66"/>
      <c r="Y43" s="66"/>
      <c r="Z43" s="66"/>
      <c r="AA43" s="66"/>
      <c r="AB43" s="66"/>
      <c r="AC43" s="66"/>
      <c r="AD43" s="66"/>
      <c r="AE43" s="66"/>
      <c r="AF43" s="68"/>
    </row>
    <row r="44" spans="1:32" x14ac:dyDescent="0.2">
      <c r="N44" s="104" t="s">
        <v>23</v>
      </c>
      <c r="O44" s="104"/>
      <c r="Q44" s="66"/>
      <c r="R44" s="66"/>
      <c r="S44" s="66"/>
      <c r="T44" s="66"/>
      <c r="U44" s="66"/>
      <c r="V44" s="66"/>
      <c r="W44" s="66"/>
      <c r="X44" s="66"/>
      <c r="Y44" s="66"/>
      <c r="Z44" s="66"/>
      <c r="AA44" s="66"/>
      <c r="AB44" s="66"/>
      <c r="AC44" s="66"/>
      <c r="AD44" s="105" t="s">
        <v>24</v>
      </c>
      <c r="AE44" s="105"/>
      <c r="AF44" s="68"/>
    </row>
    <row r="45" spans="1:32" x14ac:dyDescent="0.2">
      <c r="Q45" s="66"/>
      <c r="R45" s="66"/>
      <c r="S45" s="66"/>
      <c r="T45" s="66"/>
      <c r="U45" s="66"/>
      <c r="V45" s="66"/>
      <c r="W45" s="66"/>
      <c r="X45" s="66"/>
      <c r="Y45" s="66"/>
      <c r="Z45" s="66"/>
      <c r="AA45" s="66"/>
      <c r="AB45" s="66"/>
      <c r="AC45" s="66"/>
      <c r="AD45" s="66"/>
      <c r="AE45" s="66"/>
      <c r="AF45" s="68"/>
    </row>
    <row r="46" spans="1:32" x14ac:dyDescent="0.2">
      <c r="Q46" s="66"/>
      <c r="R46" s="66"/>
      <c r="S46" s="66"/>
      <c r="T46" s="66"/>
      <c r="U46" s="66"/>
      <c r="V46" s="66"/>
      <c r="W46" s="66"/>
      <c r="X46" s="66"/>
      <c r="Y46" s="66"/>
      <c r="Z46" s="66"/>
      <c r="AA46" s="66"/>
      <c r="AB46" s="66"/>
      <c r="AC46" s="66"/>
      <c r="AD46" s="66"/>
      <c r="AE46" s="66"/>
      <c r="AF46" s="68"/>
    </row>
    <row r="47" spans="1:32" x14ac:dyDescent="0.2">
      <c r="Q47" s="66"/>
      <c r="R47" s="66"/>
      <c r="S47" s="66"/>
      <c r="T47" s="66"/>
      <c r="U47" s="66"/>
      <c r="V47" s="66"/>
      <c r="W47" s="66"/>
      <c r="X47" s="66"/>
      <c r="Y47" s="66"/>
      <c r="Z47" s="66"/>
      <c r="AA47" s="66"/>
      <c r="AB47" s="66"/>
      <c r="AC47" s="66"/>
      <c r="AD47" s="66"/>
      <c r="AE47" s="66"/>
      <c r="AF47" s="68"/>
    </row>
    <row r="48" spans="1:32" x14ac:dyDescent="0.2">
      <c r="N48" s="104" t="s">
        <v>25</v>
      </c>
      <c r="O48" s="104"/>
      <c r="Q48" s="66"/>
      <c r="R48" s="66"/>
      <c r="S48" s="68"/>
      <c r="T48" s="66"/>
      <c r="U48" s="66"/>
      <c r="V48" s="66"/>
      <c r="W48" s="66"/>
      <c r="X48" s="66"/>
      <c r="Y48" s="66"/>
      <c r="Z48" s="63"/>
      <c r="AA48" s="63"/>
      <c r="AB48" s="63"/>
      <c r="AC48" s="63"/>
      <c r="AD48" s="104" t="s">
        <v>25</v>
      </c>
      <c r="AE48" s="105"/>
      <c r="AF48" s="68"/>
    </row>
    <row r="49" spans="1:32" x14ac:dyDescent="0.2">
      <c r="N49" s="104"/>
      <c r="O49" s="104"/>
      <c r="Q49" s="66"/>
      <c r="R49" s="66"/>
      <c r="S49" s="68"/>
      <c r="T49" s="66"/>
      <c r="U49" s="66"/>
      <c r="V49" s="66"/>
      <c r="W49" s="66"/>
      <c r="X49" s="66"/>
      <c r="Y49" s="66"/>
      <c r="Z49" s="66"/>
      <c r="AA49" s="66"/>
      <c r="AB49" s="66"/>
      <c r="AC49" s="66"/>
      <c r="AD49" s="105"/>
      <c r="AE49" s="105"/>
      <c r="AF49" s="68"/>
    </row>
    <row r="50" spans="1:32" ht="12.75" customHeight="1" x14ac:dyDescent="0.2">
      <c r="C50" s="106" t="s">
        <v>26</v>
      </c>
      <c r="Q50" s="66"/>
      <c r="R50" s="66"/>
      <c r="S50" s="107" t="s">
        <v>26</v>
      </c>
      <c r="T50" s="66"/>
      <c r="U50" s="66"/>
      <c r="V50" s="66"/>
      <c r="W50" s="66"/>
      <c r="X50" s="66"/>
      <c r="Y50" s="66"/>
      <c r="Z50" s="66"/>
      <c r="AA50" s="66"/>
      <c r="AB50" s="66"/>
      <c r="AC50" s="66"/>
      <c r="AD50" s="66"/>
      <c r="AE50" s="66"/>
      <c r="AF50" s="68"/>
    </row>
    <row r="51" spans="1:32" ht="12.75" customHeight="1" x14ac:dyDescent="0.2">
      <c r="Q51" s="108"/>
      <c r="R51" s="108"/>
      <c r="S51" s="108"/>
      <c r="T51" s="108"/>
      <c r="U51" s="108"/>
      <c r="V51" s="108"/>
      <c r="W51" s="108"/>
      <c r="X51" s="108"/>
      <c r="Y51" s="108"/>
      <c r="Z51" s="108"/>
      <c r="AA51" s="108"/>
      <c r="AB51" s="108"/>
      <c r="AC51" s="108"/>
      <c r="AD51" s="108"/>
      <c r="AE51" s="108"/>
      <c r="AF51" s="109"/>
    </row>
    <row r="52" spans="1:32" ht="3" customHeight="1" x14ac:dyDescent="0.2">
      <c r="Q52" s="66"/>
      <c r="R52" s="66"/>
      <c r="S52" s="66"/>
      <c r="T52" s="66"/>
      <c r="U52" s="66"/>
      <c r="V52" s="66"/>
      <c r="W52" s="66"/>
      <c r="X52" s="66"/>
      <c r="Y52" s="66"/>
      <c r="Z52" s="66"/>
      <c r="AA52" s="66"/>
      <c r="AB52" s="66"/>
      <c r="AC52" s="66"/>
      <c r="AD52" s="66"/>
      <c r="AE52" s="66"/>
      <c r="AF52" s="68"/>
    </row>
    <row r="53" spans="1:32" ht="11.65" customHeight="1" x14ac:dyDescent="0.25">
      <c r="K53" s="110"/>
      <c r="L53" s="110"/>
      <c r="Q53" s="111" t="s">
        <v>27</v>
      </c>
      <c r="S53" s="112"/>
      <c r="T53" s="66"/>
      <c r="U53" s="66"/>
      <c r="V53" s="66"/>
      <c r="W53" s="66"/>
      <c r="X53" s="66"/>
      <c r="Y53" s="66"/>
      <c r="Z53" s="66"/>
      <c r="AA53" s="66"/>
      <c r="AB53" s="66"/>
      <c r="AC53" s="66"/>
      <c r="AD53" s="66"/>
      <c r="AE53" s="66"/>
      <c r="AF53" s="113" t="s">
        <v>28</v>
      </c>
    </row>
    <row r="54" spans="1:32" ht="11.65" customHeight="1" x14ac:dyDescent="0.25">
      <c r="K54" s="110"/>
      <c r="L54" s="110"/>
      <c r="Q54" s="112"/>
      <c r="R54" s="66"/>
      <c r="S54" s="112"/>
      <c r="T54" s="66"/>
      <c r="U54" s="103"/>
      <c r="V54" s="103"/>
      <c r="W54" s="103"/>
      <c r="X54" s="103"/>
      <c r="Y54" s="103"/>
      <c r="Z54" s="103"/>
      <c r="AA54" s="66"/>
      <c r="AB54" s="114"/>
      <c r="AC54" s="103"/>
      <c r="AD54" s="103"/>
      <c r="AE54" s="103"/>
      <c r="AF54" s="115"/>
    </row>
    <row r="55" spans="1:32" ht="11.65" customHeight="1" x14ac:dyDescent="0.25">
      <c r="K55" s="110"/>
      <c r="L55" s="110"/>
      <c r="Q55" s="112"/>
      <c r="R55" s="66"/>
      <c r="S55" s="112"/>
      <c r="T55" s="66"/>
      <c r="U55" s="103"/>
      <c r="V55" s="103"/>
      <c r="W55" s="103"/>
      <c r="X55" s="103"/>
      <c r="Y55" s="116"/>
      <c r="Z55" s="117"/>
      <c r="AA55" s="66"/>
      <c r="AB55" s="111"/>
      <c r="AC55" s="66"/>
      <c r="AD55" s="117"/>
      <c r="AE55" s="103"/>
      <c r="AF55" s="118"/>
    </row>
    <row r="56" spans="1:32" ht="11.65" customHeight="1" x14ac:dyDescent="0.25">
      <c r="A56" s="110"/>
      <c r="B56" s="110"/>
      <c r="D56" s="110"/>
      <c r="K56" s="110"/>
      <c r="L56" s="110"/>
      <c r="Q56" s="119"/>
      <c r="R56" s="66"/>
      <c r="S56" s="120" t="s">
        <v>29</v>
      </c>
      <c r="T56" s="108"/>
      <c r="U56" s="103"/>
      <c r="V56" s="103"/>
      <c r="W56" s="103"/>
      <c r="X56" s="103"/>
      <c r="Y56" s="116"/>
      <c r="Z56" s="117"/>
      <c r="AA56" s="66"/>
      <c r="AB56" s="111"/>
      <c r="AC56" s="66"/>
      <c r="AD56" s="117"/>
      <c r="AE56" s="66"/>
      <c r="AF56" s="118"/>
    </row>
    <row r="57" spans="1:32" ht="11.65" customHeight="1" x14ac:dyDescent="0.25">
      <c r="A57" s="110"/>
      <c r="B57" s="110"/>
      <c r="D57" s="110"/>
      <c r="K57" s="110"/>
      <c r="L57" s="110"/>
      <c r="R57" s="121"/>
      <c r="S57" s="66"/>
      <c r="T57" s="66"/>
      <c r="U57" s="103"/>
      <c r="V57" s="114"/>
      <c r="W57" s="103"/>
      <c r="X57" s="103"/>
      <c r="Y57" s="116"/>
      <c r="Z57" s="117"/>
      <c r="AA57" s="66"/>
      <c r="AB57" s="111"/>
      <c r="AC57" s="66"/>
      <c r="AD57" s="117"/>
      <c r="AE57" s="66"/>
      <c r="AF57" s="118"/>
    </row>
    <row r="58" spans="1:32" ht="11.65" customHeight="1" x14ac:dyDescent="0.25">
      <c r="A58" s="110"/>
      <c r="B58" s="110"/>
      <c r="D58" s="110"/>
      <c r="K58" s="110"/>
      <c r="L58" s="110"/>
      <c r="Q58" s="66"/>
      <c r="R58" s="66"/>
      <c r="S58" s="116"/>
      <c r="T58" s="117"/>
      <c r="U58" s="66"/>
      <c r="V58" s="66"/>
      <c r="W58" s="103"/>
      <c r="X58" s="103"/>
      <c r="Y58" s="116"/>
      <c r="Z58" s="117"/>
      <c r="AA58" s="66"/>
      <c r="AB58" s="111"/>
      <c r="AC58" s="66"/>
      <c r="AD58" s="117"/>
      <c r="AE58" s="66"/>
      <c r="AF58" s="118"/>
    </row>
    <row r="59" spans="1:32" ht="11.65" customHeight="1" x14ac:dyDescent="0.25">
      <c r="A59" s="110"/>
      <c r="B59" s="110"/>
      <c r="D59" s="110"/>
      <c r="F59" s="110"/>
      <c r="G59" s="110"/>
      <c r="H59" s="110"/>
      <c r="I59" s="110"/>
      <c r="K59" s="110"/>
      <c r="L59" s="110"/>
      <c r="N59" s="122"/>
      <c r="O59" s="110"/>
      <c r="Q59" s="66"/>
      <c r="R59" s="66"/>
      <c r="S59" s="116"/>
      <c r="T59" s="117"/>
      <c r="U59" s="66"/>
      <c r="V59" s="66"/>
      <c r="W59" s="103"/>
      <c r="X59" s="103"/>
      <c r="Y59" s="116"/>
      <c r="Z59" s="117"/>
      <c r="AA59" s="66"/>
      <c r="AB59" s="103"/>
      <c r="AC59" s="103"/>
      <c r="AD59" s="103"/>
      <c r="AE59" s="66"/>
      <c r="AF59" s="68"/>
    </row>
    <row r="60" spans="1:32" ht="11.65" customHeight="1" x14ac:dyDescent="0.25">
      <c r="A60" s="110"/>
      <c r="B60" s="110"/>
      <c r="D60" s="110"/>
      <c r="F60" s="110"/>
      <c r="G60" s="110"/>
      <c r="H60" s="110"/>
      <c r="I60" s="110"/>
      <c r="K60" s="110"/>
      <c r="L60" s="110"/>
      <c r="Q60" s="66"/>
      <c r="R60" s="66"/>
      <c r="S60" s="116"/>
      <c r="T60" s="117"/>
      <c r="U60" s="66"/>
      <c r="V60" s="116"/>
      <c r="W60" s="117"/>
      <c r="X60" s="123"/>
      <c r="Y60" s="116"/>
      <c r="Z60" s="117"/>
      <c r="AA60" s="66"/>
      <c r="AB60" s="103"/>
      <c r="AC60" s="103"/>
      <c r="AD60" s="103"/>
      <c r="AE60" s="66"/>
      <c r="AF60" s="68"/>
    </row>
    <row r="61" spans="1:32" ht="11.65" customHeight="1" x14ac:dyDescent="0.25">
      <c r="A61" s="110"/>
      <c r="B61" s="110"/>
      <c r="D61" s="110"/>
      <c r="F61" s="110"/>
      <c r="G61" s="110"/>
      <c r="H61" s="110"/>
      <c r="I61" s="110"/>
      <c r="K61" s="110"/>
      <c r="L61" s="110"/>
      <c r="Q61" s="66"/>
      <c r="R61" s="66"/>
      <c r="S61" s="116"/>
      <c r="T61" s="117"/>
      <c r="U61" s="66"/>
      <c r="V61" s="116"/>
      <c r="W61" s="117"/>
      <c r="X61" s="123"/>
      <c r="Y61" s="116"/>
      <c r="Z61" s="117"/>
      <c r="AA61" s="66"/>
      <c r="AB61" s="103"/>
      <c r="AC61" s="103"/>
      <c r="AD61" s="103"/>
      <c r="AE61" s="66"/>
      <c r="AF61" s="68"/>
    </row>
    <row r="62" spans="1:32" ht="11.65" customHeight="1" x14ac:dyDescent="0.25">
      <c r="A62" s="110"/>
      <c r="B62" s="110"/>
      <c r="D62" s="110"/>
      <c r="F62" s="110"/>
      <c r="G62" s="110"/>
      <c r="H62" s="110"/>
      <c r="I62" s="110"/>
      <c r="K62" s="110"/>
      <c r="L62" s="110"/>
      <c r="Q62" s="66"/>
      <c r="R62" s="66"/>
      <c r="S62" s="116"/>
      <c r="T62" s="117"/>
      <c r="U62" s="66"/>
      <c r="V62" s="116"/>
      <c r="W62" s="117"/>
      <c r="X62" s="123"/>
      <c r="Y62" s="116"/>
      <c r="Z62" s="117"/>
      <c r="AA62" s="66"/>
      <c r="AB62" s="111"/>
      <c r="AC62" s="66"/>
      <c r="AD62" s="117"/>
      <c r="AE62" s="66"/>
      <c r="AF62" s="118"/>
    </row>
    <row r="63" spans="1:32" ht="13.5" x14ac:dyDescent="0.25">
      <c r="A63" s="110"/>
      <c r="B63" s="110"/>
      <c r="C63" s="110"/>
      <c r="D63" s="110"/>
      <c r="G63" s="110"/>
      <c r="H63" s="110"/>
      <c r="I63" s="110"/>
      <c r="J63" s="110"/>
      <c r="K63" s="110"/>
      <c r="L63" s="110"/>
      <c r="M63" s="110"/>
      <c r="N63" s="110"/>
      <c r="O63" s="110"/>
      <c r="P63" s="110"/>
    </row>
  </sheetData>
  <mergeCells count="3">
    <mergeCell ref="H20:I20"/>
    <mergeCell ref="X20:Y20"/>
    <mergeCell ref="S22:Y22"/>
  </mergeCells>
  <printOptions horizontalCentered="1"/>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7C1B1732-D893-4F7F-84AB-4E5CCE58E5D1}">
          <x14:formula1>
            <xm:f>'Drop down list '!$H$2:$H$32</xm:f>
          </x14:formula1>
          <xm:sqref>M12</xm:sqref>
        </x14:dataValidation>
        <x14:dataValidation type="list" allowBlank="1" showInputMessage="1" showErrorMessage="1" xr:uid="{36FBA863-EAD5-47E1-9DEA-A8BB2F128EEA}">
          <x14:formula1>
            <xm:f>'Drop down list '!$I$2:$I$4</xm:f>
          </x14:formula1>
          <xm:sqref>N12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4F682-476F-4893-B271-56A580F667E9}">
  <sheetPr codeName="Sheet1484">
    <tabColor rgb="FFFFFF00"/>
    <pageSetUpPr fitToPage="1"/>
  </sheetPr>
  <dimension ref="A1:AH62"/>
  <sheetViews>
    <sheetView zoomScaleNormal="100" workbookViewId="0">
      <selection activeCell="N31" sqref="N31"/>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301</v>
      </c>
      <c r="R9" s="24"/>
      <c r="S9" s="24"/>
      <c r="T9" s="29" t="str">
        <f t="shared" si="0"/>
        <v>Jalan Tasik</v>
      </c>
      <c r="U9" s="24"/>
      <c r="V9" s="24"/>
      <c r="W9" s="24"/>
      <c r="X9" s="24"/>
      <c r="Y9" s="24"/>
      <c r="Z9" s="24"/>
      <c r="AA9" s="24"/>
      <c r="AB9" s="24"/>
      <c r="AC9" s="29" t="s">
        <v>18</v>
      </c>
      <c r="AD9" s="214" t="str">
        <f>M9</f>
        <v>DN202609-xx</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9</v>
      </c>
      <c r="N12" s="145">
        <v>46290</v>
      </c>
      <c r="R12" s="24"/>
      <c r="S12" s="24"/>
      <c r="T12" s="29" t="str">
        <f t="shared" si="0"/>
        <v>East Malaysia</v>
      </c>
      <c r="U12" s="24"/>
      <c r="V12" s="24"/>
      <c r="W12" s="24"/>
      <c r="X12" s="24"/>
      <c r="Y12" s="24"/>
      <c r="Z12" s="24"/>
      <c r="AA12" s="24"/>
      <c r="AB12" s="24"/>
      <c r="AC12" s="147" t="s">
        <v>19</v>
      </c>
      <c r="AD12" s="30">
        <f>M12</f>
        <v>9</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302</v>
      </c>
      <c r="D16" s="12"/>
      <c r="E16" s="12"/>
      <c r="F16" s="12"/>
      <c r="G16" s="12"/>
      <c r="H16" s="12"/>
      <c r="I16" s="12"/>
      <c r="J16" s="12"/>
      <c r="K16" s="12"/>
      <c r="L16" s="12"/>
      <c r="M16" s="12"/>
      <c r="N16" s="12"/>
      <c r="O16" s="12"/>
      <c r="P16" s="128"/>
      <c r="R16" s="35"/>
      <c r="S16" s="24"/>
      <c r="T16" s="29" t="str">
        <f t="shared" ref="T16:T23" si="1">C16</f>
        <v>Your Invoice No. 132xx</v>
      </c>
      <c r="U16" s="29"/>
      <c r="V16" s="29"/>
      <c r="W16" s="29"/>
      <c r="X16" s="29"/>
      <c r="Y16" s="29"/>
      <c r="Z16" s="29"/>
      <c r="AA16" s="29"/>
      <c r="AB16" s="29"/>
      <c r="AC16" s="29"/>
      <c r="AD16" s="29"/>
      <c r="AE16" s="29"/>
      <c r="AF16" s="29"/>
      <c r="AG16" s="36"/>
      <c r="AH16" s="26"/>
    </row>
    <row r="17" spans="1:34" ht="12.75" customHeight="1" x14ac:dyDescent="0.2">
      <c r="A17" s="10"/>
      <c r="C17" s="213" t="s">
        <v>0</v>
      </c>
      <c r="D17" s="216"/>
      <c r="E17" s="216"/>
      <c r="F17" s="216"/>
      <c r="G17" s="216"/>
      <c r="I17" s="136" t="s">
        <v>240</v>
      </c>
      <c r="K17" s="218">
        <v>283237</v>
      </c>
      <c r="L17" s="218"/>
      <c r="M17" s="12"/>
      <c r="N17" s="12"/>
      <c r="O17" s="12"/>
      <c r="P17" s="128"/>
      <c r="R17" s="35"/>
      <c r="S17" s="24"/>
      <c r="T17" s="214" t="str">
        <f t="shared" si="1"/>
        <v>Bridgestone Singapore Pte Ltd</v>
      </c>
      <c r="U17" s="214"/>
      <c r="V17" s="214"/>
      <c r="W17" s="214"/>
      <c r="X17" s="214"/>
      <c r="Z17" s="12" t="str">
        <f>I17</f>
        <v>Contract No.</v>
      </c>
      <c r="AB17" s="218">
        <f>K17</f>
        <v>283237</v>
      </c>
      <c r="AC17" s="218"/>
      <c r="AD17" s="29"/>
      <c r="AE17" s="29"/>
      <c r="AF17" s="29"/>
      <c r="AG17" s="36"/>
      <c r="AH17" s="26"/>
    </row>
    <row r="18" spans="1:34" ht="12.75" customHeight="1" x14ac:dyDescent="0.2">
      <c r="A18" s="10"/>
      <c r="C18" s="12">
        <v>80</v>
      </c>
      <c r="D18" s="216" t="s">
        <v>1</v>
      </c>
      <c r="E18" s="216"/>
      <c r="F18" s="216"/>
      <c r="G18" s="216"/>
      <c r="H18" s="216"/>
      <c r="I18" s="125">
        <f>C18/16*20.16</f>
        <v>100.8</v>
      </c>
      <c r="J18" s="12" t="s">
        <v>36</v>
      </c>
      <c r="K18" s="144"/>
      <c r="L18" s="144" t="s">
        <v>2</v>
      </c>
      <c r="M18" s="56"/>
      <c r="N18" s="12"/>
      <c r="O18" s="12"/>
      <c r="P18" s="128"/>
      <c r="R18" s="35"/>
      <c r="S18" s="24"/>
      <c r="T18" s="29">
        <f>C18</f>
        <v>80</v>
      </c>
      <c r="U18" s="29" t="str">
        <f>D18</f>
        <v>Metal  Boxes (MB5)</v>
      </c>
      <c r="V18" s="29"/>
      <c r="W18" s="29"/>
      <c r="Z18" s="126">
        <f>I18</f>
        <v>100.8</v>
      </c>
      <c r="AA18" s="12" t="s">
        <v>37</v>
      </c>
      <c r="AB18" s="12"/>
      <c r="AC18" s="216" t="str">
        <f>L18</f>
        <v>SMR 10 Rubber</v>
      </c>
      <c r="AD18" s="216"/>
      <c r="AE18" s="216"/>
      <c r="AF18" s="29"/>
      <c r="AG18" s="36"/>
      <c r="AH18" s="26"/>
    </row>
    <row r="19" spans="1:34" ht="12.75" customHeight="1" x14ac:dyDescent="0.2">
      <c r="A19" s="10"/>
      <c r="C19" s="213" t="s">
        <v>136</v>
      </c>
      <c r="D19" s="216"/>
      <c r="E19" s="216"/>
      <c r="F19" s="216"/>
      <c r="G19" s="136" t="s">
        <v>280</v>
      </c>
      <c r="H19" s="12"/>
      <c r="I19" s="12"/>
      <c r="J19" s="12">
        <v>10</v>
      </c>
      <c r="K19" s="211">
        <v>46290</v>
      </c>
      <c r="L19" s="211"/>
      <c r="M19" s="12"/>
      <c r="N19" s="12"/>
      <c r="O19" s="12"/>
      <c r="P19" s="128"/>
      <c r="R19" s="35"/>
      <c r="S19" s="24"/>
      <c r="T19" s="147" t="str">
        <f>C19</f>
        <v>Ex Pacific Star</v>
      </c>
      <c r="U19" s="147"/>
      <c r="V19" s="134"/>
      <c r="W19" s="134"/>
      <c r="X19" s="29" t="str">
        <f>G19</f>
        <v>Voy 2609W    Arrd</v>
      </c>
      <c r="Y19" s="29"/>
      <c r="Z19" s="29"/>
      <c r="AA19" s="29">
        <f>J19</f>
        <v>10</v>
      </c>
      <c r="AB19" s="212">
        <f>K19</f>
        <v>46290</v>
      </c>
      <c r="AC19" s="212"/>
      <c r="AD19" s="29"/>
      <c r="AE19" s="29"/>
      <c r="AF19" s="29"/>
      <c r="AG19" s="36"/>
      <c r="AH19" s="26"/>
    </row>
    <row r="20" spans="1:34" ht="12.75" customHeight="1" x14ac:dyDescent="0.2">
      <c r="A20" s="10"/>
      <c r="C20" s="136" t="s">
        <v>303</v>
      </c>
      <c r="D20" s="12"/>
      <c r="E20" s="12"/>
      <c r="F20" s="12"/>
      <c r="G20" s="12"/>
      <c r="H20" s="144"/>
      <c r="I20" s="153" t="s">
        <v>304</v>
      </c>
      <c r="J20" s="12" t="s">
        <v>3</v>
      </c>
      <c r="M20" s="12"/>
      <c r="N20" s="12"/>
      <c r="O20" s="12"/>
      <c r="P20" s="128"/>
      <c r="R20" s="35"/>
      <c r="S20" s="24"/>
      <c r="T20" s="29" t="str">
        <f>C20</f>
        <v>B/L No. JPST2609W-BKI08</v>
      </c>
      <c r="U20" s="29"/>
      <c r="V20" s="29"/>
      <c r="W20" s="29"/>
      <c r="X20" s="29"/>
      <c r="Z20" s="124" t="str">
        <f>I20</f>
        <v>(194/26</v>
      </c>
      <c r="AA20" s="29" t="str">
        <f>J20</f>
        <v>Tuaran)</v>
      </c>
      <c r="AB20" s="24"/>
      <c r="AC20" s="29"/>
      <c r="AD20" s="29"/>
      <c r="AE20" s="29"/>
      <c r="AF20" s="29"/>
      <c r="AG20" s="36"/>
      <c r="AH20" s="26"/>
    </row>
    <row r="21" spans="1:34" ht="12.75" customHeight="1" x14ac:dyDescent="0.2">
      <c r="A21" s="10"/>
      <c r="C21" s="136" t="s">
        <v>314</v>
      </c>
      <c r="D21" s="12"/>
      <c r="E21" s="12"/>
      <c r="F21" s="12"/>
      <c r="G21" s="12"/>
      <c r="H21" s="12"/>
      <c r="I21" s="12"/>
      <c r="J21" s="12"/>
      <c r="K21" s="12"/>
      <c r="L21" s="12"/>
      <c r="M21" s="12"/>
      <c r="N21" s="12"/>
      <c r="O21" s="12"/>
      <c r="P21" s="128"/>
      <c r="R21" s="35"/>
      <c r="S21" s="24"/>
      <c r="T21" s="29" t="str">
        <f t="shared" si="1"/>
        <v xml:space="preserve">Shipped per CMA CGM Legacy Voy 0WO3QE1MA </v>
      </c>
      <c r="U21" s="29"/>
      <c r="V21" s="29"/>
      <c r="W21" s="29"/>
      <c r="X21" s="29"/>
      <c r="Y21" s="29"/>
      <c r="Z21" s="29"/>
      <c r="AA21" s="29"/>
      <c r="AB21" s="29"/>
      <c r="AC21" s="29"/>
      <c r="AD21" s="29"/>
      <c r="AE21" s="29"/>
      <c r="AF21" s="29"/>
      <c r="AG21" s="36"/>
      <c r="AH21" s="26"/>
    </row>
    <row r="22" spans="1:34" ht="12.75" customHeight="1" x14ac:dyDescent="0.2">
      <c r="A22" s="10"/>
      <c r="C22" s="213" t="s">
        <v>201</v>
      </c>
      <c r="D22" s="213"/>
      <c r="E22" s="213"/>
      <c r="F22" s="213"/>
      <c r="G22" s="12"/>
      <c r="H22" s="12"/>
      <c r="I22" s="12"/>
      <c r="J22" s="12"/>
      <c r="K22" s="12"/>
      <c r="L22" s="12"/>
      <c r="M22" s="12"/>
      <c r="N22" s="12"/>
      <c r="O22" s="12"/>
      <c r="P22" s="128"/>
      <c r="R22" s="35"/>
      <c r="S22" s="24"/>
      <c r="T22" s="29" t="str">
        <f t="shared" si="1"/>
        <v>To Monterrey, Mexico</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26</v>
      </c>
      <c r="F23" s="211">
        <v>46290</v>
      </c>
      <c r="G23" s="211"/>
      <c r="H23" s="12"/>
      <c r="I23" s="12"/>
      <c r="J23" s="12"/>
      <c r="K23" s="12"/>
      <c r="L23" s="12"/>
      <c r="M23" s="12"/>
      <c r="N23" s="12"/>
      <c r="O23" s="12"/>
      <c r="P23" s="128"/>
      <c r="R23" s="35"/>
      <c r="S23" s="24"/>
      <c r="T23" s="29" t="str">
        <f t="shared" si="1"/>
        <v>B/L dated</v>
      </c>
      <c r="U23" s="29"/>
      <c r="V23" s="29">
        <f>E23</f>
        <v>26</v>
      </c>
      <c r="W23" s="212">
        <f>F23</f>
        <v>46290</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3">
        <v>58.5</v>
      </c>
      <c r="K26" s="2" t="s">
        <v>41</v>
      </c>
      <c r="L26" s="12"/>
      <c r="M26" s="12" t="s">
        <v>20</v>
      </c>
      <c r="N26" s="14">
        <f>I18*J26</f>
        <v>5896.8</v>
      </c>
      <c r="O26" s="14"/>
      <c r="P26" s="128"/>
      <c r="R26" s="35"/>
      <c r="S26" s="24"/>
      <c r="T26" s="29" t="str">
        <f>C26</f>
        <v>Transhipment Charge</v>
      </c>
      <c r="U26" s="24"/>
      <c r="V26" s="29"/>
      <c r="W26" s="29"/>
      <c r="X26" s="29"/>
      <c r="Y26" s="29"/>
      <c r="Z26" s="58" t="s">
        <v>40</v>
      </c>
      <c r="AA26" s="59">
        <f>J26</f>
        <v>58.5</v>
      </c>
      <c r="AB26" s="2" t="s">
        <v>41</v>
      </c>
      <c r="AC26" s="29"/>
      <c r="AD26" s="29" t="s">
        <v>20</v>
      </c>
      <c r="AE26" s="39">
        <f>N26</f>
        <v>5896.8</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5896.8</v>
      </c>
      <c r="O31" s="14"/>
      <c r="P31" s="128"/>
      <c r="R31" s="35"/>
      <c r="S31" s="24"/>
      <c r="T31" s="24"/>
      <c r="U31" s="29"/>
      <c r="V31" s="29"/>
      <c r="W31" s="29"/>
      <c r="X31" s="29"/>
      <c r="Y31" s="29"/>
      <c r="Z31" s="29"/>
      <c r="AA31" s="29"/>
      <c r="AB31" s="29"/>
      <c r="AC31" s="29"/>
      <c r="AD31" s="29" t="s">
        <v>20</v>
      </c>
      <c r="AE31" s="39">
        <f>SUM(AE26:AE28)</f>
        <v>5896.8</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337</v>
      </c>
      <c r="F35" s="213"/>
      <c r="G35" s="213"/>
      <c r="H35" s="213"/>
      <c r="I35" s="213"/>
      <c r="J35" s="213"/>
      <c r="K35" s="213"/>
      <c r="L35" s="213"/>
      <c r="M35" s="213"/>
      <c r="N35" s="213"/>
      <c r="O35" s="213"/>
      <c r="P35" s="128"/>
      <c r="R35" s="35"/>
      <c r="S35" s="24"/>
      <c r="T35" s="29" t="str">
        <f>C35</f>
        <v>Singapore Dollars</v>
      </c>
      <c r="U35" s="24"/>
      <c r="V35" s="214" t="str">
        <f>E35</f>
        <v>Five Thousand Eight Hundred Ninety Six and cents Eighty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43"/>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t="s">
        <v>241</v>
      </c>
      <c r="AB55" s="24"/>
      <c r="AC55" s="45" t="s">
        <v>45</v>
      </c>
      <c r="AD55" s="24"/>
      <c r="AE55" s="23">
        <f>SUM(U56:U61)</f>
        <v>1705.75</v>
      </c>
      <c r="AF55" s="24"/>
      <c r="AG55" s="24"/>
      <c r="AH55" s="61"/>
    </row>
    <row r="56" spans="1:34" ht="11.65" customHeight="1" x14ac:dyDescent="0.25">
      <c r="A56" s="9"/>
      <c r="B56" s="9"/>
      <c r="D56" s="9"/>
      <c r="K56" s="9"/>
      <c r="L56" s="9"/>
      <c r="R56" s="24"/>
      <c r="S56" s="24"/>
      <c r="T56" s="48" t="s">
        <v>46</v>
      </c>
      <c r="U56" s="55">
        <f>T18/16*25.9</f>
        <v>129.5</v>
      </c>
      <c r="V56" s="43"/>
      <c r="W56" s="46"/>
      <c r="X56" s="43"/>
      <c r="Y56" s="43"/>
      <c r="Z56" s="49" t="s">
        <v>47</v>
      </c>
      <c r="AA56" s="22">
        <v>20</v>
      </c>
      <c r="AB56" s="24"/>
      <c r="AC56" s="45" t="s">
        <v>48</v>
      </c>
      <c r="AD56" s="24"/>
      <c r="AE56" s="23">
        <f>SUM(X57:X61)</f>
        <v>1485</v>
      </c>
      <c r="AF56" s="24"/>
      <c r="AG56" s="24"/>
      <c r="AH56" s="61"/>
    </row>
    <row r="57" spans="1:34" ht="11.65" customHeight="1" x14ac:dyDescent="0.25">
      <c r="A57" s="9"/>
      <c r="B57" s="9"/>
      <c r="D57" s="9"/>
      <c r="K57" s="9"/>
      <c r="L57" s="9"/>
      <c r="R57" s="24"/>
      <c r="S57" s="24"/>
      <c r="T57" s="49" t="s">
        <v>49</v>
      </c>
      <c r="U57" s="21">
        <f>T18/16*82</f>
        <v>410</v>
      </c>
      <c r="V57" s="24"/>
      <c r="W57" s="48" t="s">
        <v>134</v>
      </c>
      <c r="X57" s="21">
        <f>T18/16*5</f>
        <v>25</v>
      </c>
      <c r="Y57" s="43"/>
      <c r="Z57" s="49" t="s">
        <v>50</v>
      </c>
      <c r="AA57" s="22" t="s">
        <v>241</v>
      </c>
      <c r="AB57" s="24"/>
      <c r="AC57" s="45" t="s">
        <v>51</v>
      </c>
      <c r="AD57" s="24"/>
      <c r="AE57" s="23">
        <f>SUM(AA55:AA61)</f>
        <v>180</v>
      </c>
      <c r="AF57" s="24"/>
      <c r="AG57" s="24"/>
      <c r="AH57" s="61"/>
    </row>
    <row r="58" spans="1:34" ht="11.65" customHeight="1" x14ac:dyDescent="0.25">
      <c r="A58" s="9"/>
      <c r="B58" s="9"/>
      <c r="D58" s="9"/>
      <c r="F58" s="9"/>
      <c r="G58" s="9"/>
      <c r="H58" s="9"/>
      <c r="I58" s="9"/>
      <c r="K58" s="9"/>
      <c r="L58" s="9"/>
      <c r="N58" s="20"/>
      <c r="O58" s="9"/>
      <c r="R58" s="24"/>
      <c r="S58" s="24"/>
      <c r="T58" s="49" t="s">
        <v>52</v>
      </c>
      <c r="U58" s="22">
        <f>T18/16*63.25</f>
        <v>316.25</v>
      </c>
      <c r="V58" s="24"/>
      <c r="W58" s="48" t="s">
        <v>53</v>
      </c>
      <c r="X58" s="21">
        <f>T18/16*100</f>
        <v>500</v>
      </c>
      <c r="Y58" s="43"/>
      <c r="Z58" s="49" t="s">
        <v>54</v>
      </c>
      <c r="AA58" s="22">
        <f>(1.5*16)*(T18/16)</f>
        <v>120</v>
      </c>
      <c r="AB58" s="24"/>
      <c r="AC58" s="50" t="s">
        <v>55</v>
      </c>
      <c r="AD58" s="51"/>
      <c r="AE58" s="22">
        <f>SUM(AE55:AE57)</f>
        <v>3370.75</v>
      </c>
      <c r="AF58" s="24"/>
      <c r="AG58" s="24"/>
      <c r="AH58" s="26"/>
    </row>
    <row r="59" spans="1:34" ht="11.65" customHeight="1" x14ac:dyDescent="0.25">
      <c r="A59" s="9"/>
      <c r="B59" s="9"/>
      <c r="D59" s="9"/>
      <c r="F59" s="9"/>
      <c r="G59" s="9"/>
      <c r="H59" s="9"/>
      <c r="I59" s="9"/>
      <c r="K59" s="9"/>
      <c r="L59" s="9"/>
      <c r="R59" s="24"/>
      <c r="S59" s="24"/>
      <c r="T59" s="54" t="s">
        <v>56</v>
      </c>
      <c r="U59" s="22">
        <f>T18/16*80</f>
        <v>400</v>
      </c>
      <c r="V59" s="24"/>
      <c r="W59" s="49" t="s">
        <v>57</v>
      </c>
      <c r="X59" s="22">
        <f>T18/16*180</f>
        <v>900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T18/16*50</f>
        <v>250</v>
      </c>
      <c r="V60" s="24"/>
      <c r="W60" s="49" t="s">
        <v>60</v>
      </c>
      <c r="X60" s="22">
        <f>T18/16*12</f>
        <v>60</v>
      </c>
      <c r="Y60" s="52"/>
      <c r="Z60" s="49" t="s">
        <v>61</v>
      </c>
      <c r="AA60" s="22">
        <f>8*(T18/16)</f>
        <v>40</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T18/16*40</f>
        <v>200</v>
      </c>
      <c r="V61" s="24"/>
      <c r="W61" s="49" t="s">
        <v>63</v>
      </c>
      <c r="X61" s="22">
        <v>0</v>
      </c>
      <c r="Y61" s="52"/>
      <c r="Z61" s="49" t="s">
        <v>64</v>
      </c>
      <c r="AA61" s="22">
        <v>0</v>
      </c>
      <c r="AB61" s="24"/>
      <c r="AC61" s="53" t="s">
        <v>65</v>
      </c>
      <c r="AD61" s="38"/>
      <c r="AE61" s="21">
        <f>AE31-AE58</f>
        <v>2526.0500000000002</v>
      </c>
      <c r="AF61" s="24"/>
      <c r="AG61" s="24"/>
      <c r="AH61" s="61"/>
    </row>
    <row r="62" spans="1:34" ht="13.5" x14ac:dyDescent="0.25">
      <c r="A62" s="9"/>
      <c r="B62" s="9"/>
      <c r="C62" s="9"/>
      <c r="D62" s="9"/>
      <c r="G62" s="9"/>
      <c r="H62" s="9"/>
      <c r="I62" s="9"/>
      <c r="J62" s="9"/>
      <c r="K62" s="9"/>
      <c r="L62" s="9"/>
      <c r="M62" s="9"/>
      <c r="N62" s="9"/>
      <c r="O62" s="9"/>
      <c r="P62" s="9"/>
      <c r="Q62" s="9"/>
    </row>
  </sheetData>
  <mergeCells count="20">
    <mergeCell ref="AA44:AE44"/>
    <mergeCell ref="AA48:AE48"/>
    <mergeCell ref="F23:G23"/>
    <mergeCell ref="W23:X23"/>
    <mergeCell ref="E35:O35"/>
    <mergeCell ref="V35:AE35"/>
    <mergeCell ref="T39:AE39"/>
    <mergeCell ref="T40:AE40"/>
    <mergeCell ref="C22:F22"/>
    <mergeCell ref="AC7:AE7"/>
    <mergeCell ref="AD9:AE9"/>
    <mergeCell ref="C17:G17"/>
    <mergeCell ref="K17:L17"/>
    <mergeCell ref="T17:X17"/>
    <mergeCell ref="AB17:AC17"/>
    <mergeCell ref="D18:H18"/>
    <mergeCell ref="AC18:AE18"/>
    <mergeCell ref="C19:F19"/>
    <mergeCell ref="K19:L19"/>
    <mergeCell ref="AB19:AC19"/>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94030768-C6C0-4404-8740-B91815902A5C}">
          <x14:formula1>
            <xm:f>'Drop down list '!$F:$F</xm:f>
          </x14:formula1>
          <xm:sqref>J20</xm:sqref>
        </x14:dataValidation>
        <x14:dataValidation type="list" allowBlank="1" showInputMessage="1" showErrorMessage="1" xr:uid="{749F31FA-B9E0-4763-823A-CDB6208F0A8E}">
          <x14:formula1>
            <xm:f>'Drop down list '!$B:$B</xm:f>
          </x14:formula1>
          <xm:sqref>C19:F19</xm:sqref>
        </x14:dataValidation>
        <x14:dataValidation type="list" allowBlank="1" showInputMessage="1" showErrorMessage="1" xr:uid="{DB187DB1-1FC0-43F9-99E7-59A750B7439C}">
          <x14:formula1>
            <xm:f>'Drop down list '!$E:$E</xm:f>
          </x14:formula1>
          <xm:sqref>L18</xm:sqref>
        </x14:dataValidation>
        <x14:dataValidation type="list" allowBlank="1" showInputMessage="1" showErrorMessage="1" xr:uid="{54E8274A-6D11-4F51-B288-89374FC6425F}">
          <x14:formula1>
            <xm:f>'Drop down list '!$C:$C</xm:f>
          </x14:formula1>
          <xm:sqref>C18</xm:sqref>
        </x14:dataValidation>
        <x14:dataValidation type="list" allowBlank="1" showInputMessage="1" showErrorMessage="1" xr:uid="{9ED813B8-62CF-41E1-B483-09C2444785DE}">
          <x14:formula1>
            <xm:f>'Drop down list '!$A:$A</xm:f>
          </x14:formula1>
          <xm:sqref>C17:G17</xm:sqref>
        </x14:dataValidation>
        <x14:dataValidation type="list" allowBlank="1" showInputMessage="1" showErrorMessage="1" xr:uid="{C19D5D71-A600-4FC4-9BC1-228C1E59F7D8}">
          <x14:formula1>
            <xm:f>'Drop down list '!$H:$H</xm:f>
          </x14:formula1>
          <xm:sqref>M12 J19 E23</xm:sqref>
        </x14:dataValidation>
        <x14:dataValidation type="list" allowBlank="1" showInputMessage="1" showErrorMessage="1" xr:uid="{BAB0522B-024D-4097-8319-ACFFC3759AC8}">
          <x14:formula1>
            <xm:f>'Drop down list '!$I:$I</xm:f>
          </x14:formula1>
          <xm:sqref>N12 K19:L19 F23:G23</xm:sqref>
        </x14:dataValidation>
        <x14:dataValidation type="list" allowBlank="1" showInputMessage="1" showErrorMessage="1" xr:uid="{B5AD8F1E-B896-4A20-9691-A8D08BA2771F}">
          <x14:formula1>
            <xm:f>'Drop down list '!$G:$G</xm:f>
          </x14:formula1>
          <xm:sqref>C22:F22</xm:sqref>
        </x14:dataValidation>
        <x14:dataValidation type="list" allowBlank="1" showInputMessage="1" showErrorMessage="1" xr:uid="{9ACFD8EB-AD76-476F-880B-A1B8CD0D1EED}">
          <x14:formula1>
            <xm:f>'Drop down list '!$D:$D</xm:f>
          </x14:formula1>
          <xm:sqref>D18:H18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B08FE-AACD-4FA2-9C2C-737C8A67ADA9}">
  <sheetPr codeName="Sheet1488">
    <tabColor rgb="FFFFFF00"/>
    <pageSetUpPr fitToPage="1"/>
  </sheetPr>
  <dimension ref="A1:AH62"/>
  <sheetViews>
    <sheetView zoomScaleNormal="100" workbookViewId="0">
      <selection activeCell="N31" sqref="N31"/>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301</v>
      </c>
      <c r="R9" s="24"/>
      <c r="S9" s="24"/>
      <c r="T9" s="29" t="str">
        <f t="shared" si="0"/>
        <v>Jalan Tasik</v>
      </c>
      <c r="U9" s="24"/>
      <c r="V9" s="24"/>
      <c r="W9" s="24"/>
      <c r="X9" s="24"/>
      <c r="Y9" s="24"/>
      <c r="Z9" s="24"/>
      <c r="AA9" s="24"/>
      <c r="AB9" s="24"/>
      <c r="AC9" s="29" t="s">
        <v>18</v>
      </c>
      <c r="AD9" s="214" t="str">
        <f>M9</f>
        <v>DN202609-xx</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9</v>
      </c>
      <c r="N12" s="145">
        <v>46290</v>
      </c>
      <c r="R12" s="24"/>
      <c r="S12" s="24"/>
      <c r="T12" s="29" t="str">
        <f t="shared" si="0"/>
        <v>East Malaysia</v>
      </c>
      <c r="U12" s="24"/>
      <c r="V12" s="24"/>
      <c r="W12" s="24"/>
      <c r="X12" s="24"/>
      <c r="Y12" s="24"/>
      <c r="Z12" s="24"/>
      <c r="AA12" s="24"/>
      <c r="AB12" s="24"/>
      <c r="AC12" s="147" t="s">
        <v>19</v>
      </c>
      <c r="AD12" s="30">
        <f>M12</f>
        <v>9</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302</v>
      </c>
      <c r="D16" s="12"/>
      <c r="E16" s="12"/>
      <c r="F16" s="12"/>
      <c r="G16" s="12"/>
      <c r="H16" s="12"/>
      <c r="I16" s="12"/>
      <c r="J16" s="12"/>
      <c r="K16" s="12"/>
      <c r="L16" s="12"/>
      <c r="M16" s="12"/>
      <c r="N16" s="12"/>
      <c r="O16" s="12"/>
      <c r="P16" s="128"/>
      <c r="R16" s="35"/>
      <c r="S16" s="24"/>
      <c r="T16" s="29" t="str">
        <f t="shared" ref="T16:T23" si="1">C16</f>
        <v>Your Invoice No. 132xx</v>
      </c>
      <c r="U16" s="29"/>
      <c r="V16" s="29"/>
      <c r="W16" s="29"/>
      <c r="X16" s="29"/>
      <c r="Y16" s="29"/>
      <c r="Z16" s="29"/>
      <c r="AA16" s="29"/>
      <c r="AB16" s="29"/>
      <c r="AC16" s="29"/>
      <c r="AD16" s="29"/>
      <c r="AE16" s="29"/>
      <c r="AF16" s="29"/>
      <c r="AG16" s="36"/>
      <c r="AH16" s="26"/>
    </row>
    <row r="17" spans="1:34" ht="12.75" customHeight="1" x14ac:dyDescent="0.2">
      <c r="A17" s="10"/>
      <c r="C17" s="213" t="s">
        <v>12</v>
      </c>
      <c r="D17" s="216"/>
      <c r="E17" s="216"/>
      <c r="F17" s="216"/>
      <c r="G17" s="216"/>
      <c r="I17" s="136" t="s">
        <v>238</v>
      </c>
      <c r="J17" s="12" t="s">
        <v>306</v>
      </c>
      <c r="K17" s="12"/>
      <c r="L17" s="12"/>
      <c r="M17" s="12"/>
      <c r="N17" s="12"/>
      <c r="O17" s="12"/>
      <c r="P17" s="128"/>
      <c r="R17" s="35"/>
      <c r="S17" s="24"/>
      <c r="T17" s="214" t="str">
        <f t="shared" si="1"/>
        <v>Singapore Tong Teik (Pte) Ltd</v>
      </c>
      <c r="U17" s="214"/>
      <c r="V17" s="214"/>
      <c r="W17" s="214"/>
      <c r="X17" s="214"/>
      <c r="Z17" s="12" t="str">
        <f>I17</f>
        <v>S/I No.</v>
      </c>
      <c r="AA17" t="str">
        <f>J17</f>
        <v>S26-8059(B)</v>
      </c>
      <c r="AB17" s="24"/>
      <c r="AC17" s="29"/>
      <c r="AD17" s="29"/>
      <c r="AE17" s="29"/>
      <c r="AF17" s="29"/>
      <c r="AG17" s="36"/>
      <c r="AH17" s="26"/>
    </row>
    <row r="18" spans="1:34" ht="12.75" customHeight="1" x14ac:dyDescent="0.2">
      <c r="A18" s="10"/>
      <c r="C18" s="12">
        <v>160</v>
      </c>
      <c r="D18" s="216" t="s">
        <v>5</v>
      </c>
      <c r="E18" s="216"/>
      <c r="F18" s="216"/>
      <c r="G18" s="216"/>
      <c r="H18" s="216"/>
      <c r="I18" s="125">
        <f>C18/16*20.16</f>
        <v>201.6</v>
      </c>
      <c r="J18" s="12" t="s">
        <v>36</v>
      </c>
      <c r="K18" s="144"/>
      <c r="L18" s="144" t="s">
        <v>6</v>
      </c>
      <c r="M18" s="56"/>
      <c r="N18" s="12"/>
      <c r="O18" s="12"/>
      <c r="P18" s="128"/>
      <c r="R18" s="35"/>
      <c r="S18" s="24"/>
      <c r="T18" s="29">
        <f>C18</f>
        <v>160</v>
      </c>
      <c r="U18" s="29" t="str">
        <f>D18</f>
        <v>Shrinkwrapped Plastic Pallets Base</v>
      </c>
      <c r="V18" s="29"/>
      <c r="W18" s="29"/>
      <c r="Z18" s="126">
        <f>I18</f>
        <v>201.6</v>
      </c>
      <c r="AA18" s="12" t="s">
        <v>37</v>
      </c>
      <c r="AB18" s="12"/>
      <c r="AC18" s="216" t="str">
        <f>L18</f>
        <v>SMR 20 Rubber</v>
      </c>
      <c r="AD18" s="216"/>
      <c r="AE18" s="216"/>
      <c r="AF18" s="29"/>
      <c r="AG18" s="36"/>
      <c r="AH18" s="26"/>
    </row>
    <row r="19" spans="1:34" ht="12.75" customHeight="1" x14ac:dyDescent="0.2">
      <c r="A19" s="10"/>
      <c r="C19" s="213" t="s">
        <v>136</v>
      </c>
      <c r="D19" s="216"/>
      <c r="E19" s="216"/>
      <c r="F19" s="216"/>
      <c r="G19" s="136" t="s">
        <v>280</v>
      </c>
      <c r="H19" s="12"/>
      <c r="I19" s="12"/>
      <c r="J19" s="12">
        <v>10</v>
      </c>
      <c r="K19" s="211">
        <v>46290</v>
      </c>
      <c r="L19" s="211"/>
      <c r="M19" s="12"/>
      <c r="N19" s="12"/>
      <c r="O19" s="12"/>
      <c r="P19" s="128"/>
      <c r="R19" s="35"/>
      <c r="S19" s="24"/>
      <c r="T19" s="147" t="str">
        <f>C19</f>
        <v>Ex Pacific Star</v>
      </c>
      <c r="U19" s="147"/>
      <c r="V19" s="134"/>
      <c r="W19" s="134"/>
      <c r="X19" s="29" t="str">
        <f>G19</f>
        <v>Voy 2609W    Arrd</v>
      </c>
      <c r="Y19" s="29"/>
      <c r="Z19" s="29"/>
      <c r="AA19" s="29">
        <f>J19</f>
        <v>10</v>
      </c>
      <c r="AB19" s="212">
        <f>K19</f>
        <v>46290</v>
      </c>
      <c r="AC19" s="212"/>
      <c r="AD19" s="29"/>
      <c r="AE19" s="29"/>
      <c r="AF19" s="29"/>
      <c r="AG19" s="36"/>
      <c r="AH19" s="26"/>
    </row>
    <row r="20" spans="1:34" ht="12.75" customHeight="1" x14ac:dyDescent="0.2">
      <c r="A20" s="10"/>
      <c r="C20" s="136" t="s">
        <v>305</v>
      </c>
      <c r="D20" s="12"/>
      <c r="E20" s="12"/>
      <c r="F20" s="12"/>
      <c r="G20" s="12"/>
      <c r="H20" s="144"/>
      <c r="I20" s="153" t="s">
        <v>307</v>
      </c>
      <c r="J20" s="12" t="s">
        <v>3</v>
      </c>
      <c r="M20" s="12"/>
      <c r="N20" s="12"/>
      <c r="O20" s="12"/>
      <c r="P20" s="128"/>
      <c r="R20" s="35"/>
      <c r="S20" s="24"/>
      <c r="T20" s="29" t="str">
        <f>C20</f>
        <v>B/L No. JPST2609W-BKI04</v>
      </c>
      <c r="U20" s="29"/>
      <c r="V20" s="29"/>
      <c r="W20" s="29"/>
      <c r="X20" s="29"/>
      <c r="Z20" s="124" t="str">
        <f>I20</f>
        <v>(198/26</v>
      </c>
      <c r="AA20" s="29" t="str">
        <f>J20</f>
        <v>Tuaran)</v>
      </c>
      <c r="AB20" s="24"/>
      <c r="AC20" s="29"/>
      <c r="AD20" s="29"/>
      <c r="AE20" s="29"/>
      <c r="AF20" s="29"/>
      <c r="AG20" s="36"/>
      <c r="AH20" s="26"/>
    </row>
    <row r="21" spans="1:34" ht="12.75" customHeight="1" x14ac:dyDescent="0.2">
      <c r="A21" s="10"/>
      <c r="C21" s="136" t="s">
        <v>315</v>
      </c>
      <c r="D21" s="12"/>
      <c r="E21" s="12"/>
      <c r="F21" s="12"/>
      <c r="G21" s="12"/>
      <c r="H21" s="12"/>
      <c r="I21" s="12"/>
      <c r="J21" s="12"/>
      <c r="K21" s="12"/>
      <c r="L21" s="12"/>
      <c r="M21" s="12"/>
      <c r="N21" s="12"/>
      <c r="O21" s="12"/>
      <c r="P21" s="128"/>
      <c r="R21" s="35"/>
      <c r="S21" s="24"/>
      <c r="T21" s="29" t="str">
        <f t="shared" si="1"/>
        <v>Shipped per OOCL California Voy 177N</v>
      </c>
      <c r="U21" s="29"/>
      <c r="V21" s="29"/>
      <c r="W21" s="29"/>
      <c r="X21" s="29"/>
      <c r="Y21" s="29"/>
      <c r="Z21" s="29"/>
      <c r="AA21" s="29"/>
      <c r="AB21" s="29"/>
      <c r="AC21" s="29"/>
      <c r="AD21" s="29"/>
      <c r="AE21" s="29"/>
      <c r="AF21" s="29"/>
      <c r="AG21" s="36"/>
      <c r="AH21" s="26"/>
    </row>
    <row r="22" spans="1:34" ht="12.75" customHeight="1" x14ac:dyDescent="0.2">
      <c r="A22" s="10"/>
      <c r="C22" s="213" t="s">
        <v>13</v>
      </c>
      <c r="D22" s="213"/>
      <c r="E22" s="213"/>
      <c r="F22" s="213"/>
      <c r="G22" s="12"/>
      <c r="H22" s="12"/>
      <c r="I22" s="12"/>
      <c r="J22" s="12"/>
      <c r="K22" s="12"/>
      <c r="L22" s="12"/>
      <c r="M22" s="12"/>
      <c r="N22" s="12"/>
      <c r="O22" s="12"/>
      <c r="P22" s="128"/>
      <c r="R22" s="35"/>
      <c r="S22" s="24"/>
      <c r="T22" s="29" t="str">
        <f t="shared" si="1"/>
        <v>To Qingdao, China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20</v>
      </c>
      <c r="F23" s="211">
        <v>46290</v>
      </c>
      <c r="G23" s="211"/>
      <c r="H23" s="12"/>
      <c r="I23" s="12"/>
      <c r="J23" s="12"/>
      <c r="K23" s="12"/>
      <c r="L23" s="12"/>
      <c r="M23" s="12"/>
      <c r="N23" s="12"/>
      <c r="O23" s="12"/>
      <c r="P23" s="128"/>
      <c r="R23" s="35"/>
      <c r="S23" s="24"/>
      <c r="T23" s="29" t="str">
        <f t="shared" si="1"/>
        <v>B/L dated</v>
      </c>
      <c r="U23" s="29"/>
      <c r="V23" s="29">
        <f>E23</f>
        <v>20</v>
      </c>
      <c r="W23" s="212">
        <f>F23</f>
        <v>46290</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3">
        <v>58.5</v>
      </c>
      <c r="K26" s="2" t="s">
        <v>41</v>
      </c>
      <c r="L26" s="12"/>
      <c r="M26" s="12" t="s">
        <v>20</v>
      </c>
      <c r="N26" s="14">
        <f>I18*J26</f>
        <v>11793.6</v>
      </c>
      <c r="O26" s="14"/>
      <c r="P26" s="128"/>
      <c r="R26" s="35"/>
      <c r="S26" s="24"/>
      <c r="T26" s="29" t="str">
        <f>C26</f>
        <v>Transhipment Charge</v>
      </c>
      <c r="U26" s="24"/>
      <c r="V26" s="29"/>
      <c r="W26" s="29"/>
      <c r="X26" s="29"/>
      <c r="Y26" s="29"/>
      <c r="Z26" s="58" t="s">
        <v>40</v>
      </c>
      <c r="AA26" s="59">
        <f>J26</f>
        <v>58.5</v>
      </c>
      <c r="AB26" s="2" t="s">
        <v>41</v>
      </c>
      <c r="AC26" s="29"/>
      <c r="AD26" s="29" t="s">
        <v>20</v>
      </c>
      <c r="AE26" s="39">
        <f>N26</f>
        <v>11793.6</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11793.6</v>
      </c>
      <c r="O31" s="14"/>
      <c r="P31" s="128"/>
      <c r="R31" s="35"/>
      <c r="S31" s="24"/>
      <c r="T31" s="24"/>
      <c r="U31" s="29"/>
      <c r="V31" s="29"/>
      <c r="W31" s="29"/>
      <c r="X31" s="29"/>
      <c r="Y31" s="29"/>
      <c r="Z31" s="29"/>
      <c r="AA31" s="29"/>
      <c r="AB31" s="29"/>
      <c r="AC31" s="29"/>
      <c r="AD31" s="29" t="s">
        <v>20</v>
      </c>
      <c r="AE31" s="39">
        <f>SUM(AE26:AE28)</f>
        <v>11793.6</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336</v>
      </c>
      <c r="F35" s="213"/>
      <c r="G35" s="213"/>
      <c r="H35" s="213"/>
      <c r="I35" s="213"/>
      <c r="J35" s="213"/>
      <c r="K35" s="213"/>
      <c r="L35" s="213"/>
      <c r="M35" s="213"/>
      <c r="N35" s="213"/>
      <c r="O35" s="213"/>
      <c r="P35" s="128"/>
      <c r="R35" s="35"/>
      <c r="S35" s="24"/>
      <c r="T35" s="29" t="str">
        <f>C35</f>
        <v>Singapore Dollars</v>
      </c>
      <c r="U35" s="24"/>
      <c r="V35" s="214" t="str">
        <f>E35</f>
        <v>Eleven Thousand Seven Hundred Ninety Three And Cents Sixty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43"/>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v>200</v>
      </c>
      <c r="AB55" s="24"/>
      <c r="AC55" s="45" t="s">
        <v>45</v>
      </c>
      <c r="AD55" s="24"/>
      <c r="AE55" s="23">
        <f>SUM(U56:U61)</f>
        <v>3411.5</v>
      </c>
      <c r="AF55" s="24"/>
      <c r="AG55" s="24"/>
      <c r="AH55" s="61"/>
    </row>
    <row r="56" spans="1:34" ht="11.65" customHeight="1" x14ac:dyDescent="0.25">
      <c r="A56" s="9"/>
      <c r="B56" s="9"/>
      <c r="D56" s="9"/>
      <c r="K56" s="9"/>
      <c r="L56" s="9"/>
      <c r="R56" s="24"/>
      <c r="S56" s="24"/>
      <c r="T56" s="48" t="s">
        <v>46</v>
      </c>
      <c r="U56" s="55">
        <f>T18/16*25.9</f>
        <v>259</v>
      </c>
      <c r="V56" s="43"/>
      <c r="W56" s="46"/>
      <c r="X56" s="43"/>
      <c r="Y56" s="43"/>
      <c r="Z56" s="49" t="s">
        <v>47</v>
      </c>
      <c r="AA56" s="22">
        <v>20</v>
      </c>
      <c r="AB56" s="24"/>
      <c r="AC56" s="45" t="s">
        <v>48</v>
      </c>
      <c r="AD56" s="24"/>
      <c r="AE56" s="23">
        <f>SUM(X57:X61)</f>
        <v>2970</v>
      </c>
      <c r="AF56" s="24"/>
      <c r="AG56" s="24"/>
      <c r="AH56" s="61"/>
    </row>
    <row r="57" spans="1:34" ht="11.65" customHeight="1" x14ac:dyDescent="0.25">
      <c r="A57" s="9"/>
      <c r="B57" s="9"/>
      <c r="D57" s="9"/>
      <c r="K57" s="9"/>
      <c r="L57" s="9"/>
      <c r="R57" s="24"/>
      <c r="S57" s="24"/>
      <c r="T57" s="49" t="s">
        <v>49</v>
      </c>
      <c r="U57" s="21">
        <f>T18/16*82</f>
        <v>820</v>
      </c>
      <c r="V57" s="24"/>
      <c r="W57" s="48" t="s">
        <v>134</v>
      </c>
      <c r="X57" s="21">
        <f>T18/16*5</f>
        <v>50</v>
      </c>
      <c r="Y57" s="43"/>
      <c r="Z57" s="49" t="s">
        <v>50</v>
      </c>
      <c r="AA57" s="22">
        <f>T18/16*25</f>
        <v>250</v>
      </c>
      <c r="AB57" s="24"/>
      <c r="AC57" s="45" t="s">
        <v>51</v>
      </c>
      <c r="AD57" s="24"/>
      <c r="AE57" s="23">
        <f>SUM(AA55:AA61)</f>
        <v>790</v>
      </c>
      <c r="AF57" s="24"/>
      <c r="AG57" s="24"/>
      <c r="AH57" s="61"/>
    </row>
    <row r="58" spans="1:34" ht="11.65" customHeight="1" x14ac:dyDescent="0.25">
      <c r="A58" s="9"/>
      <c r="B58" s="9"/>
      <c r="D58" s="9"/>
      <c r="F58" s="9"/>
      <c r="G58" s="9"/>
      <c r="H58" s="9"/>
      <c r="I58" s="9"/>
      <c r="K58" s="9"/>
      <c r="L58" s="9"/>
      <c r="N58" s="20"/>
      <c r="O58" s="9"/>
      <c r="R58" s="24"/>
      <c r="S58" s="24"/>
      <c r="T58" s="49" t="s">
        <v>52</v>
      </c>
      <c r="U58" s="22">
        <f>T18/16*63.25</f>
        <v>632.5</v>
      </c>
      <c r="V58" s="24"/>
      <c r="W58" s="48" t="s">
        <v>53</v>
      </c>
      <c r="X58" s="173">
        <f>T18/16*100</f>
        <v>1000</v>
      </c>
      <c r="Y58" s="43"/>
      <c r="Z58" s="49" t="s">
        <v>54</v>
      </c>
      <c r="AA58" s="22">
        <f>(1.5*16)*(T18/16)</f>
        <v>240</v>
      </c>
      <c r="AB58" s="24"/>
      <c r="AC58" s="50" t="s">
        <v>55</v>
      </c>
      <c r="AD58" s="51"/>
      <c r="AE58" s="22">
        <f>SUM(AE55:AE57)</f>
        <v>7171.5</v>
      </c>
      <c r="AF58" s="24"/>
      <c r="AG58" s="24"/>
      <c r="AH58" s="26"/>
    </row>
    <row r="59" spans="1:34" ht="11.65" customHeight="1" x14ac:dyDescent="0.25">
      <c r="A59" s="9"/>
      <c r="B59" s="9"/>
      <c r="D59" s="9"/>
      <c r="F59" s="9"/>
      <c r="G59" s="9"/>
      <c r="H59" s="9"/>
      <c r="I59" s="9"/>
      <c r="K59" s="9"/>
      <c r="L59" s="9"/>
      <c r="R59" s="24"/>
      <c r="S59" s="24"/>
      <c r="T59" s="54" t="s">
        <v>56</v>
      </c>
      <c r="U59" s="22">
        <f>T18/16*80</f>
        <v>800</v>
      </c>
      <c r="V59" s="24"/>
      <c r="W59" s="49" t="s">
        <v>57</v>
      </c>
      <c r="X59" s="172">
        <f>T18/16*180</f>
        <v>1800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T18/16*50</f>
        <v>500</v>
      </c>
      <c r="V60" s="24"/>
      <c r="W60" s="49" t="s">
        <v>60</v>
      </c>
      <c r="X60" s="22">
        <f>T18/16*12</f>
        <v>120</v>
      </c>
      <c r="Y60" s="52"/>
      <c r="Z60" s="49" t="s">
        <v>61</v>
      </c>
      <c r="AA60" s="22">
        <f>8*(T18/16)</f>
        <v>80</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T18/16*40</f>
        <v>400</v>
      </c>
      <c r="V61" s="24"/>
      <c r="W61" s="49" t="s">
        <v>63</v>
      </c>
      <c r="X61" s="22">
        <v>0</v>
      </c>
      <c r="Y61" s="52"/>
      <c r="Z61" s="49" t="s">
        <v>64</v>
      </c>
      <c r="AA61" s="22">
        <v>0</v>
      </c>
      <c r="AB61" s="24"/>
      <c r="AC61" s="53" t="s">
        <v>65</v>
      </c>
      <c r="AD61" s="38"/>
      <c r="AE61" s="21">
        <f>AE31-AE58</f>
        <v>4622.1000000000004</v>
      </c>
      <c r="AF61" s="24"/>
      <c r="AG61" s="24"/>
      <c r="AH61" s="61"/>
    </row>
    <row r="62" spans="1:34" ht="13.5" x14ac:dyDescent="0.25">
      <c r="A62" s="9"/>
      <c r="B62" s="9"/>
      <c r="C62" s="9"/>
      <c r="D62" s="9"/>
      <c r="G62" s="9"/>
      <c r="H62" s="9"/>
      <c r="I62" s="9"/>
      <c r="J62" s="9"/>
      <c r="K62" s="9"/>
      <c r="L62" s="9"/>
      <c r="M62" s="9"/>
      <c r="N62" s="9"/>
      <c r="O62" s="9"/>
      <c r="P62" s="9"/>
      <c r="Q62" s="9"/>
    </row>
  </sheetData>
  <mergeCells count="18">
    <mergeCell ref="AA48:AE48"/>
    <mergeCell ref="C19:F19"/>
    <mergeCell ref="K19:L19"/>
    <mergeCell ref="AB19:AC19"/>
    <mergeCell ref="C22:F22"/>
    <mergeCell ref="F23:G23"/>
    <mergeCell ref="W23:X23"/>
    <mergeCell ref="E35:O35"/>
    <mergeCell ref="V35:AE35"/>
    <mergeCell ref="T39:AE39"/>
    <mergeCell ref="T40:AE40"/>
    <mergeCell ref="AA44:AE44"/>
    <mergeCell ref="AC7:AE7"/>
    <mergeCell ref="AD9:AE9"/>
    <mergeCell ref="C17:G17"/>
    <mergeCell ref="T17:X17"/>
    <mergeCell ref="D18:H18"/>
    <mergeCell ref="AC18:AE18"/>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02A9AFC8-1CCE-4919-B510-A404ED312F1B}">
          <x14:formula1>
            <xm:f>'Drop down list '!$I:$I</xm:f>
          </x14:formula1>
          <xm:sqref>N12 K19:L19 F23:G23</xm:sqref>
        </x14:dataValidation>
        <x14:dataValidation type="list" allowBlank="1" showInputMessage="1" showErrorMessage="1" xr:uid="{F99B0D42-CEF8-4C67-96EE-CA1347BC2AE7}">
          <x14:formula1>
            <xm:f>'Drop down list '!$H:$H</xm:f>
          </x14:formula1>
          <xm:sqref>M12 J19 E23</xm:sqref>
        </x14:dataValidation>
        <x14:dataValidation type="list" allowBlank="1" showInputMessage="1" showErrorMessage="1" xr:uid="{2CBA2B6E-259C-4E63-B7EF-B7C5CA7CD1EC}">
          <x14:formula1>
            <xm:f>'Drop down list '!$A:$A</xm:f>
          </x14:formula1>
          <xm:sqref>C17:G17</xm:sqref>
        </x14:dataValidation>
        <x14:dataValidation type="list" allowBlank="1" showInputMessage="1" showErrorMessage="1" xr:uid="{FD889854-BF2B-4DB6-B932-3EC4F2D3400D}">
          <x14:formula1>
            <xm:f>'Drop down list '!$C:$C</xm:f>
          </x14:formula1>
          <xm:sqref>C18</xm:sqref>
        </x14:dataValidation>
        <x14:dataValidation type="list" allowBlank="1" showInputMessage="1" showErrorMessage="1" xr:uid="{95F63218-DA7A-4646-9070-0C1480E81D62}">
          <x14:formula1>
            <xm:f>'Drop down list '!$E:$E</xm:f>
          </x14:formula1>
          <xm:sqref>L18</xm:sqref>
        </x14:dataValidation>
        <x14:dataValidation type="list" allowBlank="1" showInputMessage="1" showErrorMessage="1" xr:uid="{CA0B0BFB-CEDC-4901-B7D1-A62B73F6FEC6}">
          <x14:formula1>
            <xm:f>'Drop down list '!$B:$B</xm:f>
          </x14:formula1>
          <xm:sqref>C19:F19</xm:sqref>
        </x14:dataValidation>
        <x14:dataValidation type="list" allowBlank="1" showInputMessage="1" showErrorMessage="1" xr:uid="{2B71D3F4-30A4-48D1-B767-A46FD5CA3085}">
          <x14:formula1>
            <xm:f>'Drop down list '!$F:$F</xm:f>
          </x14:formula1>
          <xm:sqref>J20</xm:sqref>
        </x14:dataValidation>
        <x14:dataValidation type="list" allowBlank="1" showInputMessage="1" showErrorMessage="1" xr:uid="{47F6378E-B06E-48F4-B42A-3D76C33D88E1}">
          <x14:formula1>
            <xm:f>'Drop down list '!$G:$G</xm:f>
          </x14:formula1>
          <xm:sqref>C22:F22</xm:sqref>
        </x14:dataValidation>
        <x14:dataValidation type="list" allowBlank="1" showInputMessage="1" showErrorMessage="1" xr:uid="{0769C4CF-D3C9-4DF8-91FD-70D85ABCAAD0}">
          <x14:formula1>
            <xm:f>'Drop down list '!$D:$D</xm:f>
          </x14:formula1>
          <xm:sqref>D18:H18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E69E5-7CC4-4BB7-AE78-19809CCF1D21}">
  <sheetPr codeName="Sheet1490">
    <tabColor rgb="FFFFFF00"/>
    <pageSetUpPr fitToPage="1"/>
  </sheetPr>
  <dimension ref="A1:AH62"/>
  <sheetViews>
    <sheetView zoomScaleNormal="100" workbookViewId="0">
      <selection activeCell="D25" sqref="D25"/>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301</v>
      </c>
      <c r="R9" s="24"/>
      <c r="S9" s="24"/>
      <c r="T9" s="29" t="str">
        <f t="shared" si="0"/>
        <v>Jalan Tasik</v>
      </c>
      <c r="U9" s="24"/>
      <c r="V9" s="24"/>
      <c r="W9" s="24"/>
      <c r="X9" s="24"/>
      <c r="Y9" s="24"/>
      <c r="Z9" s="24"/>
      <c r="AA9" s="24"/>
      <c r="AB9" s="24"/>
      <c r="AC9" s="29" t="s">
        <v>18</v>
      </c>
      <c r="AD9" s="214" t="str">
        <f>M9</f>
        <v>DN202609-xx</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17</v>
      </c>
      <c r="N12" s="145">
        <v>46290</v>
      </c>
      <c r="R12" s="24"/>
      <c r="S12" s="24"/>
      <c r="T12" s="29" t="str">
        <f t="shared" si="0"/>
        <v>East Malaysia</v>
      </c>
      <c r="U12" s="24"/>
      <c r="V12" s="24"/>
      <c r="W12" s="24"/>
      <c r="X12" s="24"/>
      <c r="Y12" s="24"/>
      <c r="Z12" s="24"/>
      <c r="AA12" s="24"/>
      <c r="AB12" s="24"/>
      <c r="AC12" s="147" t="s">
        <v>19</v>
      </c>
      <c r="AD12" s="30">
        <f>M12</f>
        <v>17</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302</v>
      </c>
      <c r="D16" s="12"/>
      <c r="E16" s="12"/>
      <c r="F16" s="12"/>
      <c r="G16" s="12"/>
      <c r="H16" s="12"/>
      <c r="I16" s="12"/>
      <c r="J16" s="12"/>
      <c r="K16" s="12"/>
      <c r="L16" s="12"/>
      <c r="M16" s="12"/>
      <c r="N16" s="12"/>
      <c r="O16" s="12"/>
      <c r="P16" s="128"/>
      <c r="R16" s="35"/>
      <c r="S16" s="24"/>
      <c r="T16" s="29" t="str">
        <f t="shared" ref="T16:T23" si="1">C16</f>
        <v>Your Invoice No. 132xx</v>
      </c>
      <c r="U16" s="29"/>
      <c r="V16" s="29"/>
      <c r="W16" s="29"/>
      <c r="X16" s="29"/>
      <c r="Y16" s="29"/>
      <c r="Z16" s="29"/>
      <c r="AA16" s="29"/>
      <c r="AB16" s="29"/>
      <c r="AC16" s="29"/>
      <c r="AD16" s="29"/>
      <c r="AE16" s="29"/>
      <c r="AF16" s="29"/>
      <c r="AG16" s="36"/>
      <c r="AH16" s="26"/>
    </row>
    <row r="17" spans="1:34" ht="12.75" customHeight="1" x14ac:dyDescent="0.2">
      <c r="A17" s="10"/>
      <c r="C17" s="213" t="s">
        <v>0</v>
      </c>
      <c r="D17" s="216"/>
      <c r="E17" s="216"/>
      <c r="F17" s="216"/>
      <c r="G17" s="216"/>
      <c r="I17" s="136" t="s">
        <v>240</v>
      </c>
      <c r="K17" s="218">
        <v>283577</v>
      </c>
      <c r="L17" s="218"/>
      <c r="M17" s="12"/>
      <c r="N17" s="12"/>
      <c r="O17" s="12"/>
      <c r="P17" s="128"/>
      <c r="R17" s="35"/>
      <c r="S17" s="24"/>
      <c r="T17" s="214" t="str">
        <f t="shared" si="1"/>
        <v>Bridgestone Singapore Pte Ltd</v>
      </c>
      <c r="U17" s="214"/>
      <c r="V17" s="214"/>
      <c r="W17" s="214"/>
      <c r="X17" s="214"/>
      <c r="Z17" s="12" t="str">
        <f>I17</f>
        <v>Contract No.</v>
      </c>
      <c r="AB17" s="218">
        <f>K17</f>
        <v>283577</v>
      </c>
      <c r="AC17" s="218"/>
      <c r="AD17" s="29"/>
      <c r="AE17" s="29"/>
      <c r="AF17" s="29"/>
      <c r="AG17" s="36"/>
      <c r="AH17" s="26"/>
    </row>
    <row r="18" spans="1:34" ht="12.75" customHeight="1" x14ac:dyDescent="0.2">
      <c r="A18" s="10"/>
      <c r="C18" s="12">
        <v>15</v>
      </c>
      <c r="D18" s="216" t="s">
        <v>1</v>
      </c>
      <c r="E18" s="216"/>
      <c r="F18" s="216"/>
      <c r="G18" s="216"/>
      <c r="H18" s="216"/>
      <c r="I18" s="125">
        <f>C18/16*20.16</f>
        <v>18.899999999999999</v>
      </c>
      <c r="J18" s="12" t="s">
        <v>36</v>
      </c>
      <c r="K18" s="144"/>
      <c r="L18" s="144" t="s">
        <v>2</v>
      </c>
      <c r="M18" s="56"/>
      <c r="N18" s="12"/>
      <c r="O18" s="12"/>
      <c r="P18" s="128"/>
      <c r="R18" s="35"/>
      <c r="S18" s="24"/>
      <c r="T18" s="29">
        <f>C18</f>
        <v>15</v>
      </c>
      <c r="U18" s="29" t="str">
        <f>D18</f>
        <v>Metal  Boxes (MB5)</v>
      </c>
      <c r="V18" s="29"/>
      <c r="W18" s="29"/>
      <c r="Z18" s="126">
        <f>I18</f>
        <v>18.899999999999999</v>
      </c>
      <c r="AA18" s="12" t="s">
        <v>37</v>
      </c>
      <c r="AB18" s="12"/>
      <c r="AC18" s="216" t="str">
        <f>L18</f>
        <v>SMR 10 Rubber</v>
      </c>
      <c r="AD18" s="216"/>
      <c r="AE18" s="216"/>
      <c r="AF18" s="29"/>
      <c r="AG18" s="36"/>
      <c r="AH18" s="26"/>
    </row>
    <row r="19" spans="1:34" ht="12.75" customHeight="1" x14ac:dyDescent="0.2">
      <c r="A19" s="10"/>
      <c r="C19" s="213" t="s">
        <v>136</v>
      </c>
      <c r="D19" s="216"/>
      <c r="E19" s="216"/>
      <c r="F19" s="216"/>
      <c r="G19" s="136" t="s">
        <v>280</v>
      </c>
      <c r="H19" s="12"/>
      <c r="I19" s="12"/>
      <c r="J19" s="12">
        <v>10</v>
      </c>
      <c r="K19" s="211">
        <v>46290</v>
      </c>
      <c r="L19" s="211"/>
      <c r="M19" s="12"/>
      <c r="N19" s="12"/>
      <c r="O19" s="12"/>
      <c r="P19" s="128"/>
      <c r="R19" s="35"/>
      <c r="S19" s="24"/>
      <c r="T19" s="147" t="str">
        <f>C19</f>
        <v>Ex Pacific Star</v>
      </c>
      <c r="U19" s="147"/>
      <c r="V19" s="134"/>
      <c r="W19" s="134"/>
      <c r="X19" s="29" t="str">
        <f>G19</f>
        <v>Voy 2609W    Arrd</v>
      </c>
      <c r="Y19" s="29"/>
      <c r="Z19" s="29"/>
      <c r="AA19" s="29">
        <f>J19</f>
        <v>10</v>
      </c>
      <c r="AB19" s="212">
        <f>K19</f>
        <v>46290</v>
      </c>
      <c r="AC19" s="212"/>
      <c r="AD19" s="29"/>
      <c r="AE19" s="29"/>
      <c r="AF19" s="29"/>
      <c r="AG19" s="36"/>
      <c r="AH19" s="26"/>
    </row>
    <row r="20" spans="1:34" ht="12.75" customHeight="1" x14ac:dyDescent="0.2">
      <c r="A20" s="10"/>
      <c r="C20" s="136" t="s">
        <v>308</v>
      </c>
      <c r="D20" s="12"/>
      <c r="E20" s="12"/>
      <c r="F20" s="12"/>
      <c r="G20" s="12"/>
      <c r="H20" s="144"/>
      <c r="I20" s="153" t="s">
        <v>309</v>
      </c>
      <c r="J20" s="12" t="s">
        <v>3</v>
      </c>
      <c r="M20" s="12"/>
      <c r="N20" s="12"/>
      <c r="O20" s="12"/>
      <c r="P20" s="128"/>
      <c r="R20" s="35"/>
      <c r="S20" s="24"/>
      <c r="T20" s="29" t="str">
        <f>C20</f>
        <v>B/L No. JPST2609W-BKI06</v>
      </c>
      <c r="U20" s="29"/>
      <c r="V20" s="29"/>
      <c r="W20" s="29"/>
      <c r="X20" s="29"/>
      <c r="Z20" s="124" t="str">
        <f>I20</f>
        <v>(210/26</v>
      </c>
      <c r="AA20" s="29" t="str">
        <f>J20</f>
        <v>Tuaran)</v>
      </c>
      <c r="AB20" s="24"/>
      <c r="AC20" s="29"/>
      <c r="AD20" s="29"/>
      <c r="AE20" s="29"/>
      <c r="AF20" s="29"/>
      <c r="AG20" s="36"/>
      <c r="AH20" s="26"/>
    </row>
    <row r="21" spans="1:34" ht="12.75" customHeight="1" x14ac:dyDescent="0.2">
      <c r="A21" s="10"/>
      <c r="C21" s="136" t="s">
        <v>316</v>
      </c>
      <c r="D21" s="12"/>
      <c r="E21" s="12"/>
      <c r="F21" s="12"/>
      <c r="G21" s="12"/>
      <c r="H21" s="12"/>
      <c r="I21" s="12"/>
      <c r="J21" s="12"/>
      <c r="K21" s="12"/>
      <c r="L21" s="12"/>
      <c r="M21" s="12"/>
      <c r="N21" s="12"/>
      <c r="O21" s="12"/>
      <c r="P21" s="128"/>
      <c r="R21" s="35"/>
      <c r="S21" s="24"/>
      <c r="T21" s="29" t="str">
        <f t="shared" si="1"/>
        <v>Shipped per One Synergy Voy 002E</v>
      </c>
      <c r="U21" s="29"/>
      <c r="V21" s="29"/>
      <c r="W21" s="29"/>
      <c r="X21" s="29"/>
      <c r="Y21" s="29"/>
      <c r="Z21" s="29"/>
      <c r="AA21" s="29"/>
      <c r="AB21" s="29"/>
      <c r="AC21" s="29"/>
      <c r="AD21" s="29"/>
      <c r="AE21" s="29"/>
      <c r="AF21" s="29"/>
      <c r="AG21" s="36"/>
      <c r="AH21" s="26"/>
    </row>
    <row r="22" spans="1:34" ht="12.75" customHeight="1" x14ac:dyDescent="0.2">
      <c r="A22" s="10"/>
      <c r="C22" s="213" t="s">
        <v>202</v>
      </c>
      <c r="D22" s="213"/>
      <c r="E22" s="213"/>
      <c r="F22" s="213"/>
      <c r="G22" s="12"/>
      <c r="H22" s="12"/>
      <c r="I22" s="12"/>
      <c r="J22" s="12"/>
      <c r="K22" s="12"/>
      <c r="L22" s="12"/>
      <c r="M22" s="12"/>
      <c r="N22" s="12"/>
      <c r="O22" s="12"/>
      <c r="P22" s="128"/>
      <c r="R22" s="35"/>
      <c r="S22" s="24"/>
      <c r="T22" s="29" t="str">
        <f t="shared" si="1"/>
        <v>To Montreal/Joliette, Canada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24</v>
      </c>
      <c r="F23" s="211">
        <v>46290</v>
      </c>
      <c r="G23" s="211"/>
      <c r="H23" s="12"/>
      <c r="I23" s="12"/>
      <c r="J23" s="12"/>
      <c r="K23" s="12"/>
      <c r="L23" s="12"/>
      <c r="M23" s="12"/>
      <c r="N23" s="12"/>
      <c r="O23" s="12"/>
      <c r="P23" s="128"/>
      <c r="R23" s="35"/>
      <c r="S23" s="24"/>
      <c r="T23" s="29" t="str">
        <f t="shared" si="1"/>
        <v>B/L dated</v>
      </c>
      <c r="U23" s="29"/>
      <c r="V23" s="29">
        <f>E23</f>
        <v>24</v>
      </c>
      <c r="W23" s="212">
        <f>F23</f>
        <v>46290</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3">
        <v>58.5</v>
      </c>
      <c r="K26" s="2" t="s">
        <v>41</v>
      </c>
      <c r="M26" s="12" t="s">
        <v>20</v>
      </c>
      <c r="N26" s="14">
        <f>I18*J26</f>
        <v>1105.6499999999999</v>
      </c>
      <c r="O26" s="14"/>
      <c r="P26" s="128"/>
      <c r="R26" s="35"/>
      <c r="S26" s="24"/>
      <c r="T26" s="29" t="str">
        <f>C26</f>
        <v>Transhipment Charge</v>
      </c>
      <c r="U26" s="24"/>
      <c r="V26" s="29"/>
      <c r="W26" s="29"/>
      <c r="X26" s="29"/>
      <c r="Y26" s="29"/>
      <c r="Z26" s="29" t="str">
        <f>I26</f>
        <v>@ S$</v>
      </c>
      <c r="AA26" s="207">
        <f>J26</f>
        <v>58.5</v>
      </c>
      <c r="AB26" s="24" t="str">
        <f>K26</f>
        <v>per M/Ton</v>
      </c>
      <c r="AC26" s="29"/>
      <c r="AD26" s="29" t="str">
        <f>M26</f>
        <v>S$</v>
      </c>
      <c r="AE26" s="39">
        <f>N26</f>
        <v>1105.6499999999999</v>
      </c>
      <c r="AF26" s="39"/>
      <c r="AG26" s="40"/>
      <c r="AH26" s="26"/>
    </row>
    <row r="27" spans="1:34" x14ac:dyDescent="0.2">
      <c r="A27" s="10"/>
      <c r="E27" s="12"/>
      <c r="F27" s="12"/>
      <c r="G27" s="12"/>
      <c r="H27" s="12"/>
      <c r="O27" s="14"/>
      <c r="P27" s="128"/>
      <c r="R27" s="35"/>
      <c r="S27" s="24"/>
      <c r="T27" s="24"/>
      <c r="U27" s="24"/>
      <c r="V27" s="29"/>
      <c r="W27" s="29"/>
      <c r="X27" s="29"/>
      <c r="Y27" s="2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1105.6499999999999</v>
      </c>
      <c r="O31" s="14"/>
      <c r="P31" s="128"/>
      <c r="R31" s="35"/>
      <c r="S31" s="24"/>
      <c r="T31" s="24"/>
      <c r="U31" s="29"/>
      <c r="V31" s="29"/>
      <c r="W31" s="29"/>
      <c r="X31" s="29"/>
      <c r="Y31" s="29"/>
      <c r="Z31" s="29"/>
      <c r="AA31" s="29"/>
      <c r="AB31" s="29"/>
      <c r="AC31" s="29"/>
      <c r="AD31" s="29" t="s">
        <v>20</v>
      </c>
      <c r="AE31" s="39">
        <f>SUM(AE26:AE28)</f>
        <v>1105.6499999999999</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335</v>
      </c>
      <c r="F35" s="213"/>
      <c r="G35" s="213"/>
      <c r="H35" s="213"/>
      <c r="I35" s="213"/>
      <c r="J35" s="213"/>
      <c r="K35" s="213"/>
      <c r="L35" s="213"/>
      <c r="M35" s="213"/>
      <c r="N35" s="213"/>
      <c r="O35" s="213"/>
      <c r="P35" s="128"/>
      <c r="R35" s="35"/>
      <c r="S35" s="24"/>
      <c r="T35" s="29" t="str">
        <f>C35</f>
        <v>Singapore Dollars</v>
      </c>
      <c r="U35" s="24"/>
      <c r="V35" s="214" t="str">
        <f>E35</f>
        <v>One Thousand One Hundred Five and cents Sixty Five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234"/>
      <c r="U53" s="234"/>
      <c r="V53" s="234"/>
      <c r="W53" s="234"/>
      <c r="X53" s="234"/>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t="s">
        <v>241</v>
      </c>
      <c r="AB55" s="24"/>
      <c r="AC55" s="45" t="s">
        <v>45</v>
      </c>
      <c r="AD55" s="24"/>
      <c r="AE55" s="23">
        <f>SUM(U56:U61)</f>
        <v>341.15</v>
      </c>
      <c r="AF55" s="24"/>
      <c r="AG55" s="24"/>
      <c r="AH55" s="61"/>
    </row>
    <row r="56" spans="1:34" ht="11.65" customHeight="1" x14ac:dyDescent="0.25">
      <c r="A56" s="9"/>
      <c r="B56" s="9"/>
      <c r="D56" s="9"/>
      <c r="K56" s="9"/>
      <c r="L56" s="9"/>
      <c r="R56" s="24"/>
      <c r="S56" s="24"/>
      <c r="T56" s="48" t="s">
        <v>46</v>
      </c>
      <c r="U56" s="55">
        <f>T18/15*25.9</f>
        <v>25.9</v>
      </c>
      <c r="V56" s="43"/>
      <c r="W56" s="46"/>
      <c r="X56" s="43"/>
      <c r="Y56" s="43"/>
      <c r="Z56" s="49" t="s">
        <v>47</v>
      </c>
      <c r="AA56" s="22">
        <v>20</v>
      </c>
      <c r="AB56" s="24"/>
      <c r="AC56" s="45" t="s">
        <v>48</v>
      </c>
      <c r="AD56" s="24"/>
      <c r="AE56" s="23">
        <f>SUM(X57:X61)</f>
        <v>297</v>
      </c>
      <c r="AF56" s="24"/>
      <c r="AG56" s="24"/>
      <c r="AH56" s="61"/>
    </row>
    <row r="57" spans="1:34" ht="11.65" customHeight="1" x14ac:dyDescent="0.25">
      <c r="A57" s="9"/>
      <c r="B57" s="9"/>
      <c r="D57" s="9"/>
      <c r="K57" s="9"/>
      <c r="L57" s="9"/>
      <c r="R57" s="24"/>
      <c r="S57" s="24"/>
      <c r="T57" s="49" t="s">
        <v>49</v>
      </c>
      <c r="U57" s="21">
        <f>T18/15*82</f>
        <v>82</v>
      </c>
      <c r="V57" s="24"/>
      <c r="W57" s="48" t="s">
        <v>134</v>
      </c>
      <c r="X57" s="21">
        <f>T18/15*5</f>
        <v>5</v>
      </c>
      <c r="Y57" s="43"/>
      <c r="Z57" s="49" t="s">
        <v>50</v>
      </c>
      <c r="AA57" s="22" t="s">
        <v>241</v>
      </c>
      <c r="AB57" s="24"/>
      <c r="AC57" s="45" t="s">
        <v>51</v>
      </c>
      <c r="AD57" s="24"/>
      <c r="AE57" s="23">
        <f>SUM(AA55:AA61)</f>
        <v>50.5</v>
      </c>
      <c r="AF57" s="24"/>
      <c r="AG57" s="24"/>
      <c r="AH57" s="61"/>
    </row>
    <row r="58" spans="1:34" ht="11.65" customHeight="1" x14ac:dyDescent="0.25">
      <c r="A58" s="9"/>
      <c r="B58" s="9"/>
      <c r="D58" s="9"/>
      <c r="F58" s="9"/>
      <c r="G58" s="9"/>
      <c r="H58" s="9"/>
      <c r="I58" s="9"/>
      <c r="K58" s="9"/>
      <c r="L58" s="9"/>
      <c r="N58" s="20"/>
      <c r="O58" s="9"/>
      <c r="R58" s="24"/>
      <c r="S58" s="24"/>
      <c r="T58" s="49" t="s">
        <v>52</v>
      </c>
      <c r="U58" s="22">
        <f>T18/15*63.25</f>
        <v>63.25</v>
      </c>
      <c r="V58" s="24"/>
      <c r="W58" s="48" t="s">
        <v>53</v>
      </c>
      <c r="X58" s="21">
        <f>T18/15*100</f>
        <v>100</v>
      </c>
      <c r="Y58" s="43"/>
      <c r="Z58" s="49" t="s">
        <v>54</v>
      </c>
      <c r="AA58" s="22">
        <f>(1.5*15)*(T18/15)</f>
        <v>22.5</v>
      </c>
      <c r="AB58" s="24"/>
      <c r="AC58" s="50" t="s">
        <v>55</v>
      </c>
      <c r="AD58" s="51"/>
      <c r="AE58" s="22">
        <f>SUM(AE55:AE57)</f>
        <v>688.65</v>
      </c>
      <c r="AF58" s="24"/>
      <c r="AG58" s="24"/>
      <c r="AH58" s="26"/>
    </row>
    <row r="59" spans="1:34" ht="11.65" customHeight="1" x14ac:dyDescent="0.25">
      <c r="A59" s="9"/>
      <c r="B59" s="9"/>
      <c r="D59" s="9"/>
      <c r="F59" s="9"/>
      <c r="G59" s="9"/>
      <c r="H59" s="9"/>
      <c r="I59" s="9"/>
      <c r="K59" s="9"/>
      <c r="L59" s="9"/>
      <c r="R59" s="24"/>
      <c r="S59" s="24"/>
      <c r="T59" s="54" t="s">
        <v>56</v>
      </c>
      <c r="U59" s="22">
        <f>T18/15*80</f>
        <v>80</v>
      </c>
      <c r="V59" s="24"/>
      <c r="W59" s="49" t="s">
        <v>57</v>
      </c>
      <c r="X59" s="22">
        <f>T18/15*180</f>
        <v>180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T18/15*50</f>
        <v>50</v>
      </c>
      <c r="V60" s="24"/>
      <c r="W60" s="49" t="s">
        <v>60</v>
      </c>
      <c r="X60" s="22">
        <f>T18/15*12</f>
        <v>12</v>
      </c>
      <c r="Y60" s="52"/>
      <c r="Z60" s="49" t="s">
        <v>61</v>
      </c>
      <c r="AA60" s="22">
        <f>8*(T18/15)</f>
        <v>8</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T18/15*40</f>
        <v>40</v>
      </c>
      <c r="V61" s="24"/>
      <c r="W61" s="49" t="s">
        <v>63</v>
      </c>
      <c r="X61" s="22">
        <v>0</v>
      </c>
      <c r="Y61" s="52"/>
      <c r="Z61" s="49" t="s">
        <v>64</v>
      </c>
      <c r="AA61" s="22">
        <v>0</v>
      </c>
      <c r="AB61" s="24"/>
      <c r="AC61" s="53" t="s">
        <v>65</v>
      </c>
      <c r="AD61" s="38"/>
      <c r="AE61" s="21">
        <f>AE31-AE58</f>
        <v>416.99999999999989</v>
      </c>
      <c r="AF61" s="24"/>
      <c r="AG61" s="24"/>
      <c r="AH61" s="61"/>
    </row>
    <row r="62" spans="1:34" ht="13.5" x14ac:dyDescent="0.25">
      <c r="A62" s="9"/>
      <c r="B62" s="9"/>
      <c r="C62" s="9"/>
      <c r="D62" s="9"/>
      <c r="G62" s="9"/>
      <c r="H62" s="9"/>
      <c r="I62" s="9"/>
      <c r="J62" s="9"/>
      <c r="K62" s="9"/>
      <c r="L62" s="9"/>
      <c r="M62" s="9"/>
      <c r="N62" s="9"/>
      <c r="O62" s="9"/>
      <c r="P62" s="9"/>
      <c r="Q62" s="9"/>
    </row>
  </sheetData>
  <mergeCells count="20">
    <mergeCell ref="AA44:AE44"/>
    <mergeCell ref="AA48:AE48"/>
    <mergeCell ref="F23:G23"/>
    <mergeCell ref="W23:X23"/>
    <mergeCell ref="E35:O35"/>
    <mergeCell ref="V35:AE35"/>
    <mergeCell ref="T39:AE39"/>
    <mergeCell ref="T40:AE40"/>
    <mergeCell ref="C22:F22"/>
    <mergeCell ref="AC7:AE7"/>
    <mergeCell ref="AD9:AE9"/>
    <mergeCell ref="C17:G17"/>
    <mergeCell ref="K17:L17"/>
    <mergeCell ref="T17:X17"/>
    <mergeCell ref="AB17:AC17"/>
    <mergeCell ref="D18:H18"/>
    <mergeCell ref="AC18:AE18"/>
    <mergeCell ref="C19:F19"/>
    <mergeCell ref="K19:L19"/>
    <mergeCell ref="AB19:AC19"/>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1ABA4F91-1CCC-4330-B473-7629B862F210}">
          <x14:formula1>
            <xm:f>'Drop down list '!$D:$D</xm:f>
          </x14:formula1>
          <xm:sqref>D18:H18</xm:sqref>
        </x14:dataValidation>
        <x14:dataValidation type="list" allowBlank="1" showInputMessage="1" showErrorMessage="1" xr:uid="{DF8062E9-4F40-4498-AE38-BD031D3561DC}">
          <x14:formula1>
            <xm:f>'Drop down list '!$G:$G</xm:f>
          </x14:formula1>
          <xm:sqref>C22:F22</xm:sqref>
        </x14:dataValidation>
        <x14:dataValidation type="list" allowBlank="1" showInputMessage="1" showErrorMessage="1" xr:uid="{F18DF1CB-ADD3-4DC3-BA76-F9FC0BE67013}">
          <x14:formula1>
            <xm:f>'Drop down list '!$I:$I</xm:f>
          </x14:formula1>
          <xm:sqref>N12 K19:L19 F23:G23</xm:sqref>
        </x14:dataValidation>
        <x14:dataValidation type="list" allowBlank="1" showInputMessage="1" showErrorMessage="1" xr:uid="{E75E57A4-69C4-4B3B-B84A-75A045E15533}">
          <x14:formula1>
            <xm:f>'Drop down list '!$H:$H</xm:f>
          </x14:formula1>
          <xm:sqref>M12 J19 E23</xm:sqref>
        </x14:dataValidation>
        <x14:dataValidation type="list" allowBlank="1" showInputMessage="1" showErrorMessage="1" xr:uid="{523BDDE5-C785-48CA-834C-ED4927F2F37F}">
          <x14:formula1>
            <xm:f>'Drop down list '!$A:$A</xm:f>
          </x14:formula1>
          <xm:sqref>C17:G17</xm:sqref>
        </x14:dataValidation>
        <x14:dataValidation type="list" allowBlank="1" showInputMessage="1" showErrorMessage="1" xr:uid="{A28F01CB-FA82-4CFA-80F2-ED35CCE1E9DF}">
          <x14:formula1>
            <xm:f>'Drop down list '!$C:$C</xm:f>
          </x14:formula1>
          <xm:sqref>C18</xm:sqref>
        </x14:dataValidation>
        <x14:dataValidation type="list" allowBlank="1" showInputMessage="1" showErrorMessage="1" xr:uid="{FD08F070-C5BC-4309-BD9B-14254FE3EACB}">
          <x14:formula1>
            <xm:f>'Drop down list '!$E:$E</xm:f>
          </x14:formula1>
          <xm:sqref>L18</xm:sqref>
        </x14:dataValidation>
        <x14:dataValidation type="list" allowBlank="1" showInputMessage="1" showErrorMessage="1" xr:uid="{4CA2A9B3-7323-4A79-8E70-85342526CBCB}">
          <x14:formula1>
            <xm:f>'Drop down list '!$B:$B</xm:f>
          </x14:formula1>
          <xm:sqref>C19:F19</xm:sqref>
        </x14:dataValidation>
        <x14:dataValidation type="list" allowBlank="1" showInputMessage="1" showErrorMessage="1" xr:uid="{758AB60B-9D5E-4F72-BAB8-47BE52484DEA}">
          <x14:formula1>
            <xm:f>'Drop down list '!$F:$F</xm:f>
          </x14:formula1>
          <xm:sqref>J20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58C24-B0B2-4ACE-9CDC-31AC0EC95840}">
  <sheetPr codeName="Sheet1491">
    <tabColor rgb="FFFFC000"/>
    <pageSetUpPr fitToPage="1"/>
  </sheetPr>
  <dimension ref="A1:AH62"/>
  <sheetViews>
    <sheetView zoomScaleNormal="100" workbookViewId="0">
      <selection activeCell="N42" sqref="N42"/>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301</v>
      </c>
      <c r="R9" s="24"/>
      <c r="S9" s="24"/>
      <c r="T9" s="29" t="str">
        <f t="shared" si="0"/>
        <v>Jalan Tasik</v>
      </c>
      <c r="U9" s="24"/>
      <c r="V9" s="24"/>
      <c r="W9" s="24"/>
      <c r="X9" s="24"/>
      <c r="Y9" s="24"/>
      <c r="Z9" s="24"/>
      <c r="AA9" s="24"/>
      <c r="AB9" s="24"/>
      <c r="AC9" s="29" t="s">
        <v>18</v>
      </c>
      <c r="AD9" s="214" t="str">
        <f>M9</f>
        <v>DN202609-xx</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29</v>
      </c>
      <c r="N12" s="145">
        <v>46290</v>
      </c>
      <c r="R12" s="24"/>
      <c r="S12" s="24"/>
      <c r="T12" s="29" t="str">
        <f t="shared" si="0"/>
        <v>East Malaysia</v>
      </c>
      <c r="U12" s="24"/>
      <c r="V12" s="24"/>
      <c r="W12" s="24"/>
      <c r="X12" s="24"/>
      <c r="Y12" s="24"/>
      <c r="Z12" s="24"/>
      <c r="AA12" s="24"/>
      <c r="AB12" s="24"/>
      <c r="AC12" s="147" t="s">
        <v>19</v>
      </c>
      <c r="AD12" s="30">
        <f>M12</f>
        <v>29</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302</v>
      </c>
      <c r="D16" s="12"/>
      <c r="E16" s="12"/>
      <c r="F16" s="12"/>
      <c r="G16" s="12"/>
      <c r="H16" s="12"/>
      <c r="I16" s="12"/>
      <c r="J16" s="12"/>
      <c r="K16" s="12"/>
      <c r="L16" s="12"/>
      <c r="M16" s="12"/>
      <c r="N16" s="12"/>
      <c r="O16" s="12"/>
      <c r="P16" s="128"/>
      <c r="R16" s="35"/>
      <c r="S16" s="24"/>
      <c r="T16" s="29" t="str">
        <f t="shared" ref="T16:T23" si="1">C16</f>
        <v>Your Invoice No. 132xx</v>
      </c>
      <c r="U16" s="29"/>
      <c r="V16" s="29"/>
      <c r="W16" s="29"/>
      <c r="X16" s="29"/>
      <c r="Y16" s="29"/>
      <c r="Z16" s="29"/>
      <c r="AA16" s="29"/>
      <c r="AB16" s="29"/>
      <c r="AC16" s="29"/>
      <c r="AD16" s="29"/>
      <c r="AE16" s="29"/>
      <c r="AF16" s="29"/>
      <c r="AG16" s="36"/>
      <c r="AH16" s="26"/>
    </row>
    <row r="17" spans="1:34" ht="12.75" customHeight="1" x14ac:dyDescent="0.2">
      <c r="A17" s="10"/>
      <c r="C17" s="213" t="s">
        <v>0</v>
      </c>
      <c r="D17" s="216"/>
      <c r="E17" s="216"/>
      <c r="F17" s="216"/>
      <c r="G17" s="216"/>
      <c r="I17" s="136" t="s">
        <v>240</v>
      </c>
      <c r="K17" s="218">
        <v>283230</v>
      </c>
      <c r="L17" s="218"/>
      <c r="M17" s="12"/>
      <c r="N17" s="12"/>
      <c r="O17" s="12"/>
      <c r="P17" s="128"/>
      <c r="R17" s="35"/>
      <c r="S17" s="24"/>
      <c r="T17" s="214" t="str">
        <f t="shared" si="1"/>
        <v>Bridgestone Singapore Pte Ltd</v>
      </c>
      <c r="U17" s="214"/>
      <c r="V17" s="214"/>
      <c r="W17" s="214"/>
      <c r="X17" s="214"/>
      <c r="Z17" s="12" t="str">
        <f>I17</f>
        <v>Contract No.</v>
      </c>
      <c r="AB17" s="218">
        <f>K17</f>
        <v>283230</v>
      </c>
      <c r="AC17" s="218"/>
      <c r="AD17" s="29"/>
      <c r="AE17" s="29"/>
      <c r="AF17" s="29"/>
      <c r="AG17" s="36"/>
      <c r="AH17" s="26"/>
    </row>
    <row r="18" spans="1:34" ht="12.75" customHeight="1" x14ac:dyDescent="0.2">
      <c r="A18" s="10"/>
      <c r="C18" s="12">
        <v>90</v>
      </c>
      <c r="D18" s="216" t="s">
        <v>1</v>
      </c>
      <c r="E18" s="216"/>
      <c r="F18" s="216"/>
      <c r="G18" s="216"/>
      <c r="H18" s="216"/>
      <c r="I18" s="125">
        <f>C18/16*20.16</f>
        <v>113.4</v>
      </c>
      <c r="J18" s="12" t="s">
        <v>36</v>
      </c>
      <c r="K18" s="144"/>
      <c r="L18" s="144" t="s">
        <v>6</v>
      </c>
      <c r="M18" s="56"/>
      <c r="N18" s="12"/>
      <c r="O18" s="12"/>
      <c r="P18" s="128"/>
      <c r="R18" s="35"/>
      <c r="S18" s="24"/>
      <c r="T18" s="29">
        <f>C18</f>
        <v>90</v>
      </c>
      <c r="U18" s="29" t="str">
        <f>D18</f>
        <v>Metal  Boxes (MB5)</v>
      </c>
      <c r="V18" s="29"/>
      <c r="W18" s="29"/>
      <c r="Z18" s="126">
        <f>I18</f>
        <v>113.4</v>
      </c>
      <c r="AA18" s="12" t="s">
        <v>37</v>
      </c>
      <c r="AB18" s="12"/>
      <c r="AC18" s="216" t="str">
        <f>L18</f>
        <v>SMR 20 Rubber</v>
      </c>
      <c r="AD18" s="216"/>
      <c r="AE18" s="216"/>
      <c r="AF18" s="29"/>
      <c r="AG18" s="36"/>
      <c r="AH18" s="26"/>
    </row>
    <row r="19" spans="1:34" ht="12.75" customHeight="1" x14ac:dyDescent="0.2">
      <c r="A19" s="10"/>
      <c r="C19" s="213" t="s">
        <v>237</v>
      </c>
      <c r="D19" s="216"/>
      <c r="E19" s="216"/>
      <c r="F19" s="216"/>
      <c r="G19" s="136" t="s">
        <v>324</v>
      </c>
      <c r="H19" s="12"/>
      <c r="I19" s="12"/>
      <c r="J19" s="12">
        <v>22</v>
      </c>
      <c r="K19" s="211">
        <v>46290</v>
      </c>
      <c r="L19" s="211"/>
      <c r="M19" s="12"/>
      <c r="N19" s="12"/>
      <c r="O19" s="12"/>
      <c r="P19" s="128"/>
      <c r="R19" s="35"/>
      <c r="S19" s="24"/>
      <c r="T19" s="147" t="str">
        <f>C19</f>
        <v>Ex Jade Star</v>
      </c>
      <c r="U19" s="147"/>
      <c r="V19" s="134"/>
      <c r="W19" s="134"/>
      <c r="X19" s="29" t="str">
        <f>G19</f>
        <v>Voy 2610W    Arrd</v>
      </c>
      <c r="Y19" s="29"/>
      <c r="Z19" s="29"/>
      <c r="AA19" s="29">
        <f>J19</f>
        <v>22</v>
      </c>
      <c r="AB19" s="212">
        <f>K19</f>
        <v>46290</v>
      </c>
      <c r="AC19" s="212"/>
      <c r="AD19" s="29"/>
      <c r="AE19" s="29"/>
      <c r="AF19" s="29"/>
      <c r="AG19" s="36"/>
      <c r="AH19" s="26"/>
    </row>
    <row r="20" spans="1:34" ht="12.75" customHeight="1" x14ac:dyDescent="0.2">
      <c r="A20" s="10"/>
      <c r="C20" s="136" t="s">
        <v>325</v>
      </c>
      <c r="D20" s="12"/>
      <c r="E20" s="12"/>
      <c r="F20" s="12"/>
      <c r="G20" s="12"/>
      <c r="H20" s="144"/>
      <c r="I20" s="153" t="s">
        <v>326</v>
      </c>
      <c r="J20" s="12" t="s">
        <v>3</v>
      </c>
      <c r="M20" s="12"/>
      <c r="N20" s="12"/>
      <c r="O20" s="12"/>
      <c r="P20" s="128"/>
      <c r="R20" s="35"/>
      <c r="S20" s="24"/>
      <c r="T20" s="29" t="str">
        <f>C20</f>
        <v>B/L No. JJST2610W-BKI01</v>
      </c>
      <c r="U20" s="29"/>
      <c r="V20" s="29"/>
      <c r="W20" s="29"/>
      <c r="X20" s="29"/>
      <c r="Z20" s="124" t="str">
        <f>I20</f>
        <v>(179/26</v>
      </c>
      <c r="AA20" s="29" t="str">
        <f>J20</f>
        <v>Tuaran)</v>
      </c>
      <c r="AB20" s="24"/>
      <c r="AC20" s="29"/>
      <c r="AD20" s="29"/>
      <c r="AE20" s="29"/>
      <c r="AF20" s="29"/>
      <c r="AG20" s="36"/>
      <c r="AH20" s="26"/>
    </row>
    <row r="21" spans="1:34" ht="12.75" customHeight="1" x14ac:dyDescent="0.2">
      <c r="A21" s="10"/>
      <c r="C21" s="136" t="s">
        <v>327</v>
      </c>
      <c r="D21" s="12"/>
      <c r="E21" s="12"/>
      <c r="F21" s="12"/>
      <c r="G21" s="12"/>
      <c r="H21" s="12"/>
      <c r="I21" s="12"/>
      <c r="J21" s="12"/>
      <c r="K21" s="12"/>
      <c r="L21" s="12"/>
      <c r="M21" s="12"/>
      <c r="N21" s="12"/>
      <c r="O21" s="12"/>
      <c r="P21" s="128"/>
      <c r="R21" s="35"/>
      <c r="S21" s="24"/>
      <c r="T21" s="29" t="str">
        <f t="shared" si="1"/>
        <v>Shipped per Zim Mount Vinson Voy 12E</v>
      </c>
      <c r="U21" s="29"/>
      <c r="V21" s="29"/>
      <c r="W21" s="29"/>
      <c r="X21" s="29"/>
      <c r="Y21" s="29"/>
      <c r="Z21" s="29"/>
      <c r="AA21" s="29"/>
      <c r="AB21" s="29"/>
      <c r="AC21" s="29"/>
      <c r="AD21" s="29"/>
      <c r="AE21" s="29"/>
      <c r="AF21" s="29"/>
      <c r="AG21" s="36"/>
      <c r="AH21" s="26"/>
    </row>
    <row r="22" spans="1:34" ht="12.75" customHeight="1" x14ac:dyDescent="0.2">
      <c r="A22" s="10"/>
      <c r="C22" s="213" t="s">
        <v>78</v>
      </c>
      <c r="D22" s="213"/>
      <c r="E22" s="213"/>
      <c r="F22" s="213"/>
      <c r="G22" s="12"/>
      <c r="H22" s="12"/>
      <c r="I22" s="12"/>
      <c r="J22" s="12"/>
      <c r="K22" s="12"/>
      <c r="L22" s="12"/>
      <c r="M22" s="12"/>
      <c r="N22" s="12"/>
      <c r="O22" s="12"/>
      <c r="P22" s="128"/>
      <c r="R22" s="35"/>
      <c r="S22" s="24"/>
      <c r="T22" s="29" t="str">
        <f t="shared" si="1"/>
        <v>To Savannah, USA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29</v>
      </c>
      <c r="F23" s="211">
        <v>46290</v>
      </c>
      <c r="G23" s="211"/>
      <c r="H23" s="12"/>
      <c r="I23" s="12"/>
      <c r="J23" s="12"/>
      <c r="K23" s="12"/>
      <c r="L23" s="12"/>
      <c r="M23" s="12"/>
      <c r="N23" s="12"/>
      <c r="O23" s="12"/>
      <c r="P23" s="128"/>
      <c r="R23" s="35"/>
      <c r="S23" s="24"/>
      <c r="T23" s="29" t="str">
        <f t="shared" si="1"/>
        <v>B/L dated</v>
      </c>
      <c r="U23" s="29"/>
      <c r="V23" s="29">
        <f>E23</f>
        <v>29</v>
      </c>
      <c r="W23" s="212">
        <f>F23</f>
        <v>46290</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3">
        <v>58.5</v>
      </c>
      <c r="K26" s="2" t="s">
        <v>41</v>
      </c>
      <c r="L26" s="12"/>
      <c r="M26" s="12" t="s">
        <v>20</v>
      </c>
      <c r="N26" s="14">
        <f>I18*J26</f>
        <v>6633.9000000000005</v>
      </c>
      <c r="O26" s="14"/>
      <c r="P26" s="128"/>
      <c r="R26" s="35"/>
      <c r="S26" s="24"/>
      <c r="T26" s="29" t="str">
        <f>C26</f>
        <v>Transhipment Charge</v>
      </c>
      <c r="U26" s="24"/>
      <c r="V26" s="29"/>
      <c r="W26" s="29"/>
      <c r="X26" s="29"/>
      <c r="Y26" s="29"/>
      <c r="Z26" s="58" t="s">
        <v>40</v>
      </c>
      <c r="AA26" s="59">
        <f>J26</f>
        <v>58.5</v>
      </c>
      <c r="AB26" s="2" t="s">
        <v>41</v>
      </c>
      <c r="AC26" s="29"/>
      <c r="AD26" s="29" t="s">
        <v>20</v>
      </c>
      <c r="AE26" s="39">
        <f>N26</f>
        <v>6633.9000000000005</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6633.9000000000005</v>
      </c>
      <c r="O31" s="14"/>
      <c r="P31" s="128"/>
      <c r="R31" s="35"/>
      <c r="S31" s="24"/>
      <c r="T31" s="24"/>
      <c r="U31" s="29"/>
      <c r="V31" s="29"/>
      <c r="W31" s="29"/>
      <c r="X31" s="29"/>
      <c r="Y31" s="29"/>
      <c r="Z31" s="29"/>
      <c r="AA31" s="29"/>
      <c r="AB31" s="29"/>
      <c r="AC31" s="29"/>
      <c r="AD31" s="29" t="s">
        <v>20</v>
      </c>
      <c r="AE31" s="39">
        <f>SUM(AE26:AE28)</f>
        <v>6633.9000000000005</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334</v>
      </c>
      <c r="F35" s="213"/>
      <c r="G35" s="213"/>
      <c r="H35" s="213"/>
      <c r="I35" s="213"/>
      <c r="J35" s="213"/>
      <c r="K35" s="213"/>
      <c r="L35" s="213"/>
      <c r="M35" s="213"/>
      <c r="N35" s="213"/>
      <c r="O35" s="213"/>
      <c r="P35" s="128"/>
      <c r="R35" s="35"/>
      <c r="S35" s="24"/>
      <c r="T35" s="29" t="str">
        <f>C35</f>
        <v>Singapore Dollars</v>
      </c>
      <c r="U35" s="24"/>
      <c r="V35" s="214" t="str">
        <f>E35</f>
        <v>Six Thousand Six Hundred Thirty Three and cents Ninety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208" t="s">
        <v>328</v>
      </c>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t="s">
        <v>241</v>
      </c>
      <c r="AB55" s="24"/>
      <c r="AC55" s="45" t="s">
        <v>45</v>
      </c>
      <c r="AD55" s="24"/>
      <c r="AE55" s="23">
        <f>SUM(U56:U61)</f>
        <v>2046.9</v>
      </c>
      <c r="AF55" s="24"/>
      <c r="AG55" s="24"/>
      <c r="AH55" s="61"/>
    </row>
    <row r="56" spans="1:34" ht="11.65" customHeight="1" x14ac:dyDescent="0.25">
      <c r="A56" s="9"/>
      <c r="B56" s="9"/>
      <c r="D56" s="9"/>
      <c r="K56" s="9"/>
      <c r="L56" s="9"/>
      <c r="R56" s="24"/>
      <c r="S56" s="24"/>
      <c r="T56" s="48" t="s">
        <v>46</v>
      </c>
      <c r="U56" s="55">
        <f>T18/15*25.9</f>
        <v>155.39999999999998</v>
      </c>
      <c r="V56" s="43"/>
      <c r="W56" s="46"/>
      <c r="X56" s="43"/>
      <c r="Y56" s="43"/>
      <c r="Z56" s="49" t="s">
        <v>47</v>
      </c>
      <c r="AA56" s="22">
        <v>20</v>
      </c>
      <c r="AB56" s="24"/>
      <c r="AC56" s="45" t="s">
        <v>48</v>
      </c>
      <c r="AD56" s="24"/>
      <c r="AE56" s="23">
        <f>SUM(X57:X61)</f>
        <v>1782</v>
      </c>
      <c r="AF56" s="24"/>
      <c r="AG56" s="24"/>
      <c r="AH56" s="61"/>
    </row>
    <row r="57" spans="1:34" ht="11.65" customHeight="1" x14ac:dyDescent="0.25">
      <c r="A57" s="9"/>
      <c r="B57" s="9"/>
      <c r="D57" s="9"/>
      <c r="K57" s="9"/>
      <c r="L57" s="9"/>
      <c r="R57" s="24"/>
      <c r="S57" s="24"/>
      <c r="T57" s="49" t="s">
        <v>49</v>
      </c>
      <c r="U57" s="21">
        <f>T18/15*82</f>
        <v>492</v>
      </c>
      <c r="V57" s="24"/>
      <c r="W57" s="48" t="s">
        <v>134</v>
      </c>
      <c r="X57" s="21">
        <f>T18/15*5</f>
        <v>30</v>
      </c>
      <c r="Y57" s="43"/>
      <c r="Z57" s="49" t="s">
        <v>50</v>
      </c>
      <c r="AA57" s="22" t="s">
        <v>241</v>
      </c>
      <c r="AB57" s="24"/>
      <c r="AC57" s="45" t="s">
        <v>51</v>
      </c>
      <c r="AD57" s="24"/>
      <c r="AE57" s="23">
        <f>SUM(AA55:AA61)</f>
        <v>203</v>
      </c>
      <c r="AF57" s="24"/>
      <c r="AG57" s="24"/>
      <c r="AH57" s="61"/>
    </row>
    <row r="58" spans="1:34" ht="11.65" customHeight="1" x14ac:dyDescent="0.25">
      <c r="A58" s="9"/>
      <c r="B58" s="9"/>
      <c r="D58" s="9"/>
      <c r="F58" s="9"/>
      <c r="G58" s="9"/>
      <c r="H58" s="9"/>
      <c r="I58" s="9"/>
      <c r="K58" s="9"/>
      <c r="L58" s="9"/>
      <c r="N58" s="20"/>
      <c r="O58" s="9"/>
      <c r="R58" s="24"/>
      <c r="S58" s="24"/>
      <c r="T58" s="49" t="s">
        <v>52</v>
      </c>
      <c r="U58" s="22">
        <f>T18/15*63.25</f>
        <v>379.5</v>
      </c>
      <c r="V58" s="24"/>
      <c r="W58" s="48" t="s">
        <v>53</v>
      </c>
      <c r="X58" s="21">
        <f>T18/15*100</f>
        <v>600</v>
      </c>
      <c r="Y58" s="43"/>
      <c r="Z58" s="49" t="s">
        <v>54</v>
      </c>
      <c r="AA58" s="22">
        <f>(1.5*15)*(T18/15)</f>
        <v>135</v>
      </c>
      <c r="AB58" s="24"/>
      <c r="AC58" s="50" t="s">
        <v>55</v>
      </c>
      <c r="AD58" s="51"/>
      <c r="AE58" s="22">
        <f>SUM(AE55:AE57)</f>
        <v>4031.9</v>
      </c>
      <c r="AF58" s="24"/>
      <c r="AG58" s="24"/>
      <c r="AH58" s="26"/>
    </row>
    <row r="59" spans="1:34" ht="11.65" customHeight="1" x14ac:dyDescent="0.25">
      <c r="A59" s="9"/>
      <c r="B59" s="9"/>
      <c r="D59" s="9"/>
      <c r="F59" s="9"/>
      <c r="G59" s="9"/>
      <c r="H59" s="9"/>
      <c r="I59" s="9"/>
      <c r="K59" s="9"/>
      <c r="L59" s="9"/>
      <c r="R59" s="24"/>
      <c r="S59" s="24"/>
      <c r="T59" s="54" t="s">
        <v>56</v>
      </c>
      <c r="U59" s="22">
        <f>T18/15*80</f>
        <v>480</v>
      </c>
      <c r="V59" s="24"/>
      <c r="W59" s="49" t="s">
        <v>57</v>
      </c>
      <c r="X59" s="22">
        <f>T18/15*180</f>
        <v>1080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T18/15*50</f>
        <v>300</v>
      </c>
      <c r="V60" s="24"/>
      <c r="W60" s="49" t="s">
        <v>60</v>
      </c>
      <c r="X60" s="22">
        <f>T18/15*12</f>
        <v>72</v>
      </c>
      <c r="Y60" s="52"/>
      <c r="Z60" s="49" t="s">
        <v>61</v>
      </c>
      <c r="AA60" s="22">
        <f>8*(T18/15)</f>
        <v>48</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T18/15*40</f>
        <v>240</v>
      </c>
      <c r="V61" s="24"/>
      <c r="W61" s="49" t="s">
        <v>63</v>
      </c>
      <c r="X61" s="22">
        <v>0</v>
      </c>
      <c r="Y61" s="52"/>
      <c r="Z61" s="49" t="s">
        <v>64</v>
      </c>
      <c r="AA61" s="22">
        <v>0</v>
      </c>
      <c r="AB61" s="24"/>
      <c r="AC61" s="53" t="s">
        <v>65</v>
      </c>
      <c r="AD61" s="38"/>
      <c r="AE61" s="21">
        <f>AE31-AE58</f>
        <v>2602.0000000000005</v>
      </c>
      <c r="AF61" s="24"/>
      <c r="AG61" s="24"/>
      <c r="AH61" s="61"/>
    </row>
    <row r="62" spans="1:34" ht="13.5" x14ac:dyDescent="0.25">
      <c r="A62" s="9"/>
      <c r="B62" s="9"/>
      <c r="C62" s="9"/>
      <c r="D62" s="9"/>
      <c r="G62" s="9"/>
      <c r="H62" s="9"/>
      <c r="I62" s="9"/>
      <c r="J62" s="9"/>
      <c r="K62" s="9"/>
      <c r="L62" s="9"/>
      <c r="M62" s="9"/>
      <c r="N62" s="9"/>
      <c r="O62" s="9"/>
      <c r="P62" s="9"/>
      <c r="Q62" s="9"/>
    </row>
  </sheetData>
  <mergeCells count="20">
    <mergeCell ref="C22:F22"/>
    <mergeCell ref="AC7:AE7"/>
    <mergeCell ref="AD9:AE9"/>
    <mergeCell ref="C17:G17"/>
    <mergeCell ref="K17:L17"/>
    <mergeCell ref="T17:X17"/>
    <mergeCell ref="AB17:AC17"/>
    <mergeCell ref="D18:H18"/>
    <mergeCell ref="AC18:AE18"/>
    <mergeCell ref="C19:F19"/>
    <mergeCell ref="K19:L19"/>
    <mergeCell ref="AB19:AC19"/>
    <mergeCell ref="AA44:AE44"/>
    <mergeCell ref="AA48:AE48"/>
    <mergeCell ref="F23:G23"/>
    <mergeCell ref="W23:X23"/>
    <mergeCell ref="E35:O35"/>
    <mergeCell ref="V35:AE35"/>
    <mergeCell ref="T39:AE39"/>
    <mergeCell ref="T40:AE40"/>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143340C9-76DE-4606-A60A-DA24584CC69E}">
          <x14:formula1>
            <xm:f>'Drop down list '!$F:$F</xm:f>
          </x14:formula1>
          <xm:sqref>J20</xm:sqref>
        </x14:dataValidation>
        <x14:dataValidation type="list" allowBlank="1" showInputMessage="1" showErrorMessage="1" xr:uid="{CA04F08B-ACE8-4153-A78C-F9DA835DEB7E}">
          <x14:formula1>
            <xm:f>'Drop down list '!$B:$B</xm:f>
          </x14:formula1>
          <xm:sqref>C19:F19</xm:sqref>
        </x14:dataValidation>
        <x14:dataValidation type="list" allowBlank="1" showInputMessage="1" showErrorMessage="1" xr:uid="{CC1591C0-5B89-4A86-BC38-C10CD9662FE7}">
          <x14:formula1>
            <xm:f>'Drop down list '!$E:$E</xm:f>
          </x14:formula1>
          <xm:sqref>L18</xm:sqref>
        </x14:dataValidation>
        <x14:dataValidation type="list" allowBlank="1" showInputMessage="1" showErrorMessage="1" xr:uid="{CFE790C8-9F07-4179-818A-2AA5000661FD}">
          <x14:formula1>
            <xm:f>'Drop down list '!$C:$C</xm:f>
          </x14:formula1>
          <xm:sqref>C18</xm:sqref>
        </x14:dataValidation>
        <x14:dataValidation type="list" allowBlank="1" showInputMessage="1" showErrorMessage="1" xr:uid="{D7312652-07E8-438F-89C7-37BE153129B3}">
          <x14:formula1>
            <xm:f>'Drop down list '!$A:$A</xm:f>
          </x14:formula1>
          <xm:sqref>C17:G17</xm:sqref>
        </x14:dataValidation>
        <x14:dataValidation type="list" allowBlank="1" showInputMessage="1" showErrorMessage="1" xr:uid="{0580FFF1-830A-4650-884B-8193CDCD7357}">
          <x14:formula1>
            <xm:f>'Drop down list '!$H:$H</xm:f>
          </x14:formula1>
          <xm:sqref>M12 J19 E23</xm:sqref>
        </x14:dataValidation>
        <x14:dataValidation type="list" allowBlank="1" showInputMessage="1" showErrorMessage="1" xr:uid="{AA8DDC25-423F-4016-A1FE-A8BAEA1BA63D}">
          <x14:formula1>
            <xm:f>'Drop down list '!$I:$I</xm:f>
          </x14:formula1>
          <xm:sqref>N12 K19:L19 F23:G23</xm:sqref>
        </x14:dataValidation>
        <x14:dataValidation type="list" allowBlank="1" showInputMessage="1" showErrorMessage="1" xr:uid="{DFC8A06E-58B9-4243-8D3F-9B696F2C668D}">
          <x14:formula1>
            <xm:f>'Drop down list '!$G:$G</xm:f>
          </x14:formula1>
          <xm:sqref>C22:F22</xm:sqref>
        </x14:dataValidation>
        <x14:dataValidation type="list" allowBlank="1" showInputMessage="1" showErrorMessage="1" xr:uid="{BD735955-23EB-487F-B5C3-E000840A2420}">
          <x14:formula1>
            <xm:f>'Drop down list '!$D:$D</xm:f>
          </x14:formula1>
          <xm:sqref>D18:H18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244C2-1C05-4323-93BF-E9FA22DD90C1}">
  <sheetPr codeName="Sheet1492">
    <tabColor rgb="FFFFC000"/>
    <pageSetUpPr fitToPage="1"/>
  </sheetPr>
  <dimension ref="A1:AH62"/>
  <sheetViews>
    <sheetView topLeftCell="A3" zoomScaleNormal="100" workbookViewId="0">
      <selection activeCell="J26" sqref="J26"/>
    </sheetView>
  </sheetViews>
  <sheetFormatPr defaultRowHeight="12.75" x14ac:dyDescent="0.2"/>
  <cols>
    <col min="1" max="1" width="5.7109375" style="2" customWidth="1"/>
    <col min="2" max="2" width="1.7109375" style="2" customWidth="1"/>
    <col min="3" max="3" width="3.7109375" style="2" customWidth="1"/>
    <col min="4" max="4" width="11.85546875" style="2" customWidth="1"/>
    <col min="5" max="5" width="3.7109375" style="2" customWidth="1"/>
    <col min="6" max="6" width="4.7109375" style="2" customWidth="1"/>
    <col min="7" max="7" width="6.28515625" style="2" customWidth="1"/>
    <col min="8" max="8" width="3" style="2" bestFit="1" customWidth="1"/>
    <col min="9" max="9" width="6.7109375" style="2" customWidth="1"/>
    <col min="10" max="10" width="5.28515625" style="2" customWidth="1"/>
    <col min="11" max="11" width="3.7109375" style="2" customWidth="1"/>
    <col min="12" max="12" width="7.7109375" style="2" customWidth="1"/>
    <col min="13" max="13" width="3" style="2" customWidth="1"/>
    <col min="14" max="14" width="10.7109375" style="2" customWidth="1"/>
    <col min="15" max="15" width="3.5703125" style="2" customWidth="1"/>
    <col min="16" max="16" width="3" customWidth="1"/>
    <col min="17" max="17" width="4.28515625" customWidth="1"/>
    <col min="18" max="18" width="4.7109375" customWidth="1"/>
    <col min="19" max="19" width="1.7109375" customWidth="1"/>
    <col min="20" max="20" width="3.7109375" customWidth="1"/>
    <col min="21" max="21" width="11.85546875" customWidth="1"/>
    <col min="22" max="22" width="3.7109375" customWidth="1"/>
    <col min="23" max="23" width="4.7109375" customWidth="1"/>
    <col min="24" max="24" width="8" customWidth="1"/>
    <col min="25" max="25" width="3" bestFit="1" customWidth="1"/>
    <col min="26" max="26" width="6.5703125" customWidth="1"/>
    <col min="27" max="27" width="6.85546875" customWidth="1"/>
    <col min="28" max="28" width="3.7109375" customWidth="1"/>
    <col min="29" max="29" width="7.7109375" customWidth="1"/>
    <col min="30" max="30" width="3" customWidth="1"/>
    <col min="31" max="31" width="10.7109375" customWidth="1"/>
    <col min="32" max="33" width="1.7109375" customWidth="1"/>
    <col min="34" max="34" width="5.7109375" customWidth="1"/>
  </cols>
  <sheetData>
    <row r="1" spans="1:34" ht="19.5" customHeight="1" x14ac:dyDescent="0.25">
      <c r="I1" s="7" t="s">
        <v>14</v>
      </c>
      <c r="R1" s="24"/>
      <c r="S1" s="24"/>
      <c r="T1" s="24"/>
      <c r="U1" s="24"/>
      <c r="V1" s="24"/>
      <c r="W1" s="24"/>
      <c r="X1" s="24"/>
      <c r="Y1" s="24"/>
      <c r="Z1" s="25" t="s">
        <v>14</v>
      </c>
      <c r="AA1" s="24"/>
      <c r="AB1" s="24"/>
      <c r="AC1" s="24"/>
      <c r="AD1" s="24"/>
      <c r="AE1" s="24"/>
      <c r="AF1" s="24"/>
      <c r="AG1" s="24"/>
      <c r="AH1" s="26"/>
    </row>
    <row r="2" spans="1:34" ht="12.75" customHeight="1" x14ac:dyDescent="0.2">
      <c r="I2" s="6" t="s">
        <v>15</v>
      </c>
      <c r="R2" s="24"/>
      <c r="S2" s="24"/>
      <c r="T2" s="24"/>
      <c r="U2" s="24"/>
      <c r="V2" s="24"/>
      <c r="W2" s="24"/>
      <c r="X2" s="24"/>
      <c r="Y2" s="24"/>
      <c r="Z2" s="27" t="s">
        <v>15</v>
      </c>
      <c r="AA2" s="24"/>
      <c r="AB2" s="24"/>
      <c r="AC2" s="24"/>
      <c r="AD2" s="24"/>
      <c r="AE2" s="24"/>
      <c r="AF2" s="24"/>
      <c r="AG2" s="24"/>
      <c r="AH2" s="26"/>
    </row>
    <row r="3" spans="1:34" ht="12.75" customHeight="1" x14ac:dyDescent="0.2">
      <c r="I3" s="6" t="s">
        <v>16</v>
      </c>
      <c r="R3" s="24"/>
      <c r="S3" s="24"/>
      <c r="T3" s="24"/>
      <c r="U3" s="24"/>
      <c r="V3" s="24"/>
      <c r="W3" s="24"/>
      <c r="X3" s="24"/>
      <c r="Y3" s="24"/>
      <c r="Z3" s="27" t="s">
        <v>16</v>
      </c>
      <c r="AA3" s="24"/>
      <c r="AB3" s="24"/>
      <c r="AC3" s="24"/>
      <c r="AD3" s="24"/>
      <c r="AE3" s="24"/>
      <c r="AF3" s="24"/>
      <c r="AG3" s="24"/>
      <c r="AH3" s="26"/>
    </row>
    <row r="4" spans="1:34" ht="12.75" customHeight="1" x14ac:dyDescent="0.2">
      <c r="R4" s="24"/>
      <c r="S4" s="24"/>
      <c r="T4" s="24"/>
      <c r="U4" s="24"/>
      <c r="V4" s="24"/>
      <c r="W4" s="24"/>
      <c r="X4" s="24"/>
      <c r="Y4" s="24"/>
      <c r="Z4" s="24"/>
      <c r="AA4" s="24"/>
      <c r="AB4" s="24"/>
      <c r="AC4" s="24"/>
      <c r="AD4" s="24"/>
      <c r="AE4" s="24"/>
      <c r="AF4" s="24"/>
      <c r="AG4" s="24"/>
      <c r="AH4" s="26"/>
    </row>
    <row r="5" spans="1:34" ht="12.75" customHeight="1" x14ac:dyDescent="0.2">
      <c r="I5" s="143"/>
      <c r="R5" s="24"/>
      <c r="S5" s="24"/>
      <c r="T5" s="24"/>
      <c r="U5" s="24"/>
      <c r="V5" s="24"/>
      <c r="W5" s="24"/>
      <c r="X5" s="24"/>
      <c r="Y5" s="24"/>
      <c r="Z5" s="24"/>
      <c r="AA5" s="24"/>
      <c r="AB5" s="24"/>
      <c r="AC5" s="24"/>
      <c r="AD5" s="24"/>
      <c r="AE5" s="24"/>
      <c r="AF5" s="24"/>
      <c r="AG5" s="24"/>
      <c r="AH5" s="26"/>
    </row>
    <row r="6" spans="1:34" ht="12.75" customHeight="1" x14ac:dyDescent="0.2">
      <c r="R6" s="24"/>
      <c r="S6" s="24"/>
      <c r="T6" s="24"/>
      <c r="U6" s="24"/>
      <c r="V6" s="24"/>
      <c r="W6" s="24"/>
      <c r="X6" s="24"/>
      <c r="Y6" s="24"/>
      <c r="Z6" s="24"/>
      <c r="AA6" s="24"/>
      <c r="AB6" s="24"/>
      <c r="AC6" s="24"/>
      <c r="AD6" s="24"/>
      <c r="AE6" s="24"/>
      <c r="AF6" s="24"/>
      <c r="AG6" s="24"/>
      <c r="AH6" s="26"/>
    </row>
    <row r="7" spans="1:34" ht="15" customHeight="1" x14ac:dyDescent="0.2">
      <c r="C7" s="11" t="s">
        <v>30</v>
      </c>
      <c r="L7" s="8" t="s">
        <v>17</v>
      </c>
      <c r="R7" s="24"/>
      <c r="S7" s="24"/>
      <c r="T7" s="28" t="str">
        <f t="shared" ref="T7:T12" si="0">C7</f>
        <v>Sabah Rubber Industry Board</v>
      </c>
      <c r="U7" s="24"/>
      <c r="V7" s="24"/>
      <c r="W7" s="24"/>
      <c r="X7" s="24"/>
      <c r="Y7" s="24"/>
      <c r="Z7" s="24"/>
      <c r="AA7" s="24"/>
      <c r="AB7" s="24"/>
      <c r="AC7" s="217" t="s">
        <v>17</v>
      </c>
      <c r="AD7" s="217"/>
      <c r="AE7" s="217"/>
      <c r="AF7" s="24"/>
      <c r="AG7" s="24"/>
      <c r="AH7" s="26"/>
    </row>
    <row r="8" spans="1:34" x14ac:dyDescent="0.2">
      <c r="C8" s="12" t="s">
        <v>31</v>
      </c>
      <c r="R8" s="24"/>
      <c r="S8" s="24"/>
      <c r="T8" s="29" t="str">
        <f t="shared" si="0"/>
        <v>Level 3, Wisma Pertanian Sabah</v>
      </c>
      <c r="U8" s="24"/>
      <c r="V8" s="24"/>
      <c r="W8" s="24"/>
      <c r="X8" s="24"/>
      <c r="Y8" s="24"/>
      <c r="Z8" s="24"/>
      <c r="AA8" s="24"/>
      <c r="AB8" s="24"/>
      <c r="AC8" s="24"/>
      <c r="AD8" s="24"/>
      <c r="AE8" s="24"/>
      <c r="AF8" s="24"/>
      <c r="AG8" s="24"/>
      <c r="AH8" s="26"/>
    </row>
    <row r="9" spans="1:34" x14ac:dyDescent="0.2">
      <c r="C9" s="12" t="s">
        <v>32</v>
      </c>
      <c r="L9" s="12" t="s">
        <v>18</v>
      </c>
      <c r="M9" s="136" t="s">
        <v>301</v>
      </c>
      <c r="R9" s="24"/>
      <c r="S9" s="24"/>
      <c r="T9" s="29" t="str">
        <f t="shared" si="0"/>
        <v>Jalan Tasik</v>
      </c>
      <c r="U9" s="24"/>
      <c r="V9" s="24"/>
      <c r="W9" s="24"/>
      <c r="X9" s="24"/>
      <c r="Y9" s="24"/>
      <c r="Z9" s="24"/>
      <c r="AA9" s="24"/>
      <c r="AB9" s="24"/>
      <c r="AC9" s="29" t="s">
        <v>18</v>
      </c>
      <c r="AD9" s="214" t="str">
        <f>M9</f>
        <v>DN202609-xx</v>
      </c>
      <c r="AE9" s="214"/>
      <c r="AF9" s="24"/>
      <c r="AG9" s="24"/>
      <c r="AH9" s="26"/>
    </row>
    <row r="10" spans="1:34" x14ac:dyDescent="0.2">
      <c r="C10" s="12" t="s">
        <v>33</v>
      </c>
      <c r="R10" s="24"/>
      <c r="S10" s="24"/>
      <c r="T10" s="29" t="str">
        <f t="shared" si="0"/>
        <v>Luyang (off Jalan Maktab Gaya)</v>
      </c>
      <c r="U10" s="24"/>
      <c r="V10" s="24"/>
      <c r="W10" s="24"/>
      <c r="X10" s="24"/>
      <c r="Y10" s="24"/>
      <c r="Z10" s="24"/>
      <c r="AA10" s="24"/>
      <c r="AB10" s="24"/>
      <c r="AC10" s="24"/>
      <c r="AD10" s="24"/>
      <c r="AE10" s="24"/>
      <c r="AF10" s="24"/>
      <c r="AG10" s="24"/>
      <c r="AH10" s="26"/>
    </row>
    <row r="11" spans="1:34" x14ac:dyDescent="0.2">
      <c r="C11" s="12" t="s">
        <v>34</v>
      </c>
      <c r="R11" s="24"/>
      <c r="S11" s="24"/>
      <c r="T11" s="29" t="str">
        <f t="shared" si="0"/>
        <v>Kota Kinabalu, Sabah</v>
      </c>
      <c r="U11" s="24"/>
      <c r="V11" s="24"/>
      <c r="W11" s="24"/>
      <c r="X11" s="24"/>
      <c r="Y11" s="24"/>
      <c r="Z11" s="24"/>
      <c r="AA11" s="24"/>
      <c r="AB11" s="24"/>
      <c r="AC11" s="24"/>
      <c r="AD11" s="24"/>
      <c r="AE11" s="24"/>
      <c r="AF11" s="24"/>
      <c r="AG11" s="24"/>
      <c r="AH11" s="26"/>
    </row>
    <row r="12" spans="1:34" x14ac:dyDescent="0.2">
      <c r="C12" s="12" t="s">
        <v>35</v>
      </c>
      <c r="L12" s="144" t="s">
        <v>19</v>
      </c>
      <c r="M12" s="144">
        <v>29</v>
      </c>
      <c r="N12" s="145">
        <v>46290</v>
      </c>
      <c r="R12" s="24"/>
      <c r="S12" s="24"/>
      <c r="T12" s="29" t="str">
        <f t="shared" si="0"/>
        <v>East Malaysia</v>
      </c>
      <c r="U12" s="24"/>
      <c r="V12" s="24"/>
      <c r="W12" s="24"/>
      <c r="X12" s="24"/>
      <c r="Y12" s="24"/>
      <c r="Z12" s="24"/>
      <c r="AA12" s="24"/>
      <c r="AB12" s="24"/>
      <c r="AC12" s="147" t="s">
        <v>19</v>
      </c>
      <c r="AD12" s="30">
        <f>M12</f>
        <v>29</v>
      </c>
      <c r="AE12" s="146">
        <f>N12</f>
        <v>46290</v>
      </c>
      <c r="AF12" s="24"/>
      <c r="AG12" s="24"/>
      <c r="AH12" s="26"/>
    </row>
    <row r="13" spans="1:34" ht="12.75" customHeight="1" x14ac:dyDescent="0.2">
      <c r="R13" s="24"/>
      <c r="S13" s="24"/>
      <c r="T13" s="24"/>
      <c r="U13" s="24"/>
      <c r="V13" s="24"/>
      <c r="W13" s="24"/>
      <c r="X13" s="24"/>
      <c r="Y13" s="24"/>
      <c r="Z13" s="24"/>
      <c r="AA13" s="24"/>
      <c r="AB13" s="24"/>
      <c r="AC13" s="24"/>
      <c r="AD13" s="24"/>
      <c r="AE13" s="24"/>
      <c r="AF13" s="24"/>
      <c r="AG13" s="24"/>
      <c r="AH13" s="26"/>
    </row>
    <row r="14" spans="1:34" ht="12.75" customHeight="1" thickBot="1" x14ac:dyDescent="0.25">
      <c r="A14" s="3"/>
      <c r="B14" s="3"/>
      <c r="C14" s="3"/>
      <c r="D14" s="3"/>
      <c r="E14" s="3"/>
      <c r="F14" s="3"/>
      <c r="G14" s="3"/>
      <c r="H14" s="3"/>
      <c r="I14" s="3"/>
      <c r="J14" s="3"/>
      <c r="K14" s="3"/>
      <c r="L14" s="3"/>
      <c r="O14" s="3"/>
      <c r="P14" s="1"/>
      <c r="Q14" s="1"/>
      <c r="R14" s="31"/>
      <c r="S14" s="31"/>
      <c r="T14" s="31"/>
      <c r="U14" s="31"/>
      <c r="V14" s="31"/>
      <c r="W14" s="31"/>
      <c r="X14" s="31"/>
      <c r="Y14" s="31"/>
      <c r="Z14" s="31"/>
      <c r="AA14" s="31"/>
      <c r="AB14" s="31"/>
      <c r="AC14" s="31"/>
      <c r="AD14" s="24"/>
      <c r="AE14" s="24"/>
      <c r="AF14" s="31"/>
      <c r="AG14" s="31"/>
      <c r="AH14" s="32"/>
    </row>
    <row r="15" spans="1:34" ht="12.75" customHeight="1" x14ac:dyDescent="0.2">
      <c r="A15" s="17"/>
      <c r="M15" s="5"/>
      <c r="N15" s="5"/>
      <c r="P15" s="127"/>
      <c r="R15" s="33"/>
      <c r="S15" s="24"/>
      <c r="T15" s="24"/>
      <c r="U15" s="24"/>
      <c r="V15" s="24"/>
      <c r="W15" s="24"/>
      <c r="X15" s="24"/>
      <c r="Y15" s="24"/>
      <c r="Z15" s="24"/>
      <c r="AA15" s="24"/>
      <c r="AB15" s="24"/>
      <c r="AC15" s="24"/>
      <c r="AD15" s="34"/>
      <c r="AE15" s="34"/>
      <c r="AF15" s="24"/>
      <c r="AG15" s="33"/>
      <c r="AH15" s="26"/>
    </row>
    <row r="16" spans="1:34" ht="12.75" customHeight="1" x14ac:dyDescent="0.2">
      <c r="A16" s="10"/>
      <c r="C16" s="136" t="s">
        <v>302</v>
      </c>
      <c r="D16" s="12"/>
      <c r="E16" s="12"/>
      <c r="F16" s="12"/>
      <c r="G16" s="12"/>
      <c r="H16" s="12"/>
      <c r="I16" s="12"/>
      <c r="J16" s="12"/>
      <c r="K16" s="12"/>
      <c r="L16" s="12"/>
      <c r="M16" s="12"/>
      <c r="N16" s="12"/>
      <c r="O16" s="12"/>
      <c r="P16" s="128"/>
      <c r="R16" s="35"/>
      <c r="S16" s="24"/>
      <c r="T16" s="29" t="str">
        <f t="shared" ref="T16:T23" si="1">C16</f>
        <v>Your Invoice No. 132xx</v>
      </c>
      <c r="U16" s="29"/>
      <c r="V16" s="29"/>
      <c r="W16" s="29"/>
      <c r="X16" s="29"/>
      <c r="Y16" s="29"/>
      <c r="Z16" s="29"/>
      <c r="AA16" s="29"/>
      <c r="AB16" s="29"/>
      <c r="AC16" s="29"/>
      <c r="AD16" s="29"/>
      <c r="AE16" s="29"/>
      <c r="AF16" s="29"/>
      <c r="AG16" s="36"/>
      <c r="AH16" s="26"/>
    </row>
    <row r="17" spans="1:34" ht="12.75" customHeight="1" x14ac:dyDescent="0.2">
      <c r="A17" s="10"/>
      <c r="C17" s="213" t="s">
        <v>0</v>
      </c>
      <c r="D17" s="216"/>
      <c r="E17" s="216"/>
      <c r="F17" s="216"/>
      <c r="G17" s="216"/>
      <c r="I17" s="136" t="s">
        <v>240</v>
      </c>
      <c r="K17" s="218">
        <v>283266</v>
      </c>
      <c r="L17" s="218"/>
      <c r="M17" s="12"/>
      <c r="N17" s="12"/>
      <c r="O17" s="12"/>
      <c r="P17" s="128"/>
      <c r="R17" s="35"/>
      <c r="S17" s="24"/>
      <c r="T17" s="214" t="str">
        <f t="shared" si="1"/>
        <v>Bridgestone Singapore Pte Ltd</v>
      </c>
      <c r="U17" s="214"/>
      <c r="V17" s="214"/>
      <c r="W17" s="214"/>
      <c r="X17" s="214"/>
      <c r="Z17" s="12" t="str">
        <f>I17</f>
        <v>Contract No.</v>
      </c>
      <c r="AB17" s="218">
        <f>K17</f>
        <v>283266</v>
      </c>
      <c r="AC17" s="218"/>
      <c r="AD17" s="29"/>
      <c r="AE17" s="29"/>
      <c r="AF17" s="29"/>
      <c r="AG17" s="36"/>
      <c r="AH17" s="26"/>
    </row>
    <row r="18" spans="1:34" ht="12.75" customHeight="1" x14ac:dyDescent="0.2">
      <c r="A18" s="10"/>
      <c r="C18" s="12">
        <v>60</v>
      </c>
      <c r="D18" s="216" t="s">
        <v>1</v>
      </c>
      <c r="E18" s="216"/>
      <c r="F18" s="216"/>
      <c r="G18" s="216"/>
      <c r="H18" s="216"/>
      <c r="I18" s="125">
        <f>C18/16*20.16</f>
        <v>75.599999999999994</v>
      </c>
      <c r="J18" s="12" t="s">
        <v>36</v>
      </c>
      <c r="K18" s="144"/>
      <c r="L18" s="144" t="s">
        <v>6</v>
      </c>
      <c r="M18" s="56"/>
      <c r="N18" s="12"/>
      <c r="O18" s="12"/>
      <c r="P18" s="128"/>
      <c r="R18" s="35"/>
      <c r="S18" s="24"/>
      <c r="T18" s="29">
        <f>C18</f>
        <v>60</v>
      </c>
      <c r="U18" s="29" t="str">
        <f>D18</f>
        <v>Metal  Boxes (MB5)</v>
      </c>
      <c r="V18" s="29"/>
      <c r="W18" s="29"/>
      <c r="Z18" s="126">
        <f>I18</f>
        <v>75.599999999999994</v>
      </c>
      <c r="AA18" s="12" t="s">
        <v>37</v>
      </c>
      <c r="AB18" s="12"/>
      <c r="AC18" s="216" t="str">
        <f>L18</f>
        <v>SMR 20 Rubber</v>
      </c>
      <c r="AD18" s="216"/>
      <c r="AE18" s="216"/>
      <c r="AF18" s="29"/>
      <c r="AG18" s="36"/>
      <c r="AH18" s="26"/>
    </row>
    <row r="19" spans="1:34" ht="12.75" customHeight="1" x14ac:dyDescent="0.2">
      <c r="A19" s="10"/>
      <c r="C19" s="213" t="s">
        <v>237</v>
      </c>
      <c r="D19" s="216"/>
      <c r="E19" s="216"/>
      <c r="F19" s="216"/>
      <c r="G19" s="136" t="s">
        <v>324</v>
      </c>
      <c r="H19" s="12"/>
      <c r="I19" s="12"/>
      <c r="J19" s="12">
        <v>22</v>
      </c>
      <c r="K19" s="211">
        <v>46290</v>
      </c>
      <c r="L19" s="211"/>
      <c r="M19" s="12"/>
      <c r="N19" s="12"/>
      <c r="O19" s="12"/>
      <c r="P19" s="128"/>
      <c r="R19" s="35"/>
      <c r="S19" s="24"/>
      <c r="T19" s="147" t="str">
        <f>C19</f>
        <v>Ex Jade Star</v>
      </c>
      <c r="U19" s="147"/>
      <c r="V19" s="134"/>
      <c r="W19" s="134"/>
      <c r="X19" s="29" t="str">
        <f>G19</f>
        <v>Voy 2610W    Arrd</v>
      </c>
      <c r="Y19" s="29"/>
      <c r="Z19" s="29"/>
      <c r="AA19" s="29">
        <f>J19</f>
        <v>22</v>
      </c>
      <c r="AB19" s="212">
        <f>K19</f>
        <v>46290</v>
      </c>
      <c r="AC19" s="212"/>
      <c r="AD19" s="29"/>
      <c r="AE19" s="29"/>
      <c r="AF19" s="29"/>
      <c r="AG19" s="36"/>
      <c r="AH19" s="26"/>
    </row>
    <row r="20" spans="1:34" ht="12.75" customHeight="1" x14ac:dyDescent="0.2">
      <c r="A20" s="10"/>
      <c r="C20" s="136" t="s">
        <v>329</v>
      </c>
      <c r="D20" s="12"/>
      <c r="E20" s="12"/>
      <c r="F20" s="12"/>
      <c r="G20" s="12"/>
      <c r="H20" s="144"/>
      <c r="I20" s="153" t="s">
        <v>330</v>
      </c>
      <c r="J20" s="12" t="s">
        <v>3</v>
      </c>
      <c r="M20" s="12"/>
      <c r="N20" s="12"/>
      <c r="O20" s="12"/>
      <c r="P20" s="128"/>
      <c r="R20" s="35"/>
      <c r="S20" s="24"/>
      <c r="T20" s="29" t="str">
        <f>C20</f>
        <v>B/L No. JJST2610W-BKI04</v>
      </c>
      <c r="U20" s="29"/>
      <c r="V20" s="29"/>
      <c r="W20" s="29"/>
      <c r="X20" s="29"/>
      <c r="Z20" s="124" t="str">
        <f>I20</f>
        <v>(182/26</v>
      </c>
      <c r="AA20" s="29" t="str">
        <f>J20</f>
        <v>Tuaran)</v>
      </c>
      <c r="AB20" s="24"/>
      <c r="AC20" s="29"/>
      <c r="AD20" s="29"/>
      <c r="AE20" s="29"/>
      <c r="AF20" s="29"/>
      <c r="AG20" s="36"/>
      <c r="AH20" s="26"/>
    </row>
    <row r="21" spans="1:34" ht="12.75" customHeight="1" x14ac:dyDescent="0.2">
      <c r="A21" s="10"/>
      <c r="C21" s="136" t="s">
        <v>331</v>
      </c>
      <c r="D21" s="12"/>
      <c r="E21" s="12"/>
      <c r="F21" s="12"/>
      <c r="G21" s="12"/>
      <c r="H21" s="12"/>
      <c r="I21" s="12"/>
      <c r="J21" s="12"/>
      <c r="K21" s="12"/>
      <c r="L21" s="12"/>
      <c r="M21" s="12"/>
      <c r="N21" s="12"/>
      <c r="O21" s="12"/>
      <c r="P21" s="128"/>
      <c r="R21" s="35"/>
      <c r="S21" s="24"/>
      <c r="T21" s="29" t="str">
        <f t="shared" si="1"/>
        <v>Shipped per One Cygnus Voy 025E</v>
      </c>
      <c r="U21" s="29"/>
      <c r="V21" s="29"/>
      <c r="W21" s="29"/>
      <c r="X21" s="29"/>
      <c r="Y21" s="29"/>
      <c r="Z21" s="29"/>
      <c r="AA21" s="29"/>
      <c r="AB21" s="29"/>
      <c r="AC21" s="29"/>
      <c r="AD21" s="29"/>
      <c r="AE21" s="29"/>
      <c r="AF21" s="29"/>
      <c r="AG21" s="36"/>
      <c r="AH21" s="26"/>
    </row>
    <row r="22" spans="1:34" ht="12.75" customHeight="1" x14ac:dyDescent="0.2">
      <c r="A22" s="10"/>
      <c r="C22" s="213" t="s">
        <v>78</v>
      </c>
      <c r="D22" s="213"/>
      <c r="E22" s="213"/>
      <c r="F22" s="213"/>
      <c r="G22" s="12"/>
      <c r="H22" s="12"/>
      <c r="I22" s="12"/>
      <c r="J22" s="12"/>
      <c r="K22" s="12"/>
      <c r="L22" s="12"/>
      <c r="M22" s="12"/>
      <c r="N22" s="12"/>
      <c r="O22" s="12"/>
      <c r="P22" s="128"/>
      <c r="R22" s="35"/>
      <c r="S22" s="24"/>
      <c r="T22" s="29" t="str">
        <f t="shared" si="1"/>
        <v>To Savannah, USA</v>
      </c>
      <c r="U22" s="29"/>
      <c r="V22" s="29"/>
      <c r="W22" s="29"/>
      <c r="X22" s="29"/>
      <c r="Y22" s="29"/>
      <c r="Z22" s="29"/>
      <c r="AA22" s="29"/>
      <c r="AB22" s="29"/>
      <c r="AC22" s="29"/>
      <c r="AD22" s="29"/>
      <c r="AE22" s="29"/>
      <c r="AF22" s="29"/>
      <c r="AG22" s="36"/>
      <c r="AH22" s="26"/>
    </row>
    <row r="23" spans="1:34" ht="12.75" customHeight="1" x14ac:dyDescent="0.2">
      <c r="A23" s="10"/>
      <c r="C23" s="12" t="s">
        <v>38</v>
      </c>
      <c r="D23" s="12"/>
      <c r="E23" s="12">
        <v>3</v>
      </c>
      <c r="F23" s="211">
        <v>46320</v>
      </c>
      <c r="G23" s="211"/>
      <c r="H23" s="12"/>
      <c r="I23" s="12"/>
      <c r="J23" s="12"/>
      <c r="K23" s="12"/>
      <c r="L23" s="12"/>
      <c r="M23" s="12"/>
      <c r="N23" s="12"/>
      <c r="O23" s="12"/>
      <c r="P23" s="128"/>
      <c r="R23" s="35"/>
      <c r="S23" s="24"/>
      <c r="T23" s="29" t="str">
        <f t="shared" si="1"/>
        <v>B/L dated</v>
      </c>
      <c r="U23" s="29"/>
      <c r="V23" s="29">
        <f>E23</f>
        <v>3</v>
      </c>
      <c r="W23" s="212">
        <f>F23</f>
        <v>46320</v>
      </c>
      <c r="X23" s="212"/>
      <c r="Y23" s="29"/>
      <c r="Z23" s="29"/>
      <c r="AA23" s="29"/>
      <c r="AB23" s="29"/>
      <c r="AC23" s="29"/>
      <c r="AD23" s="29"/>
      <c r="AE23" s="29"/>
      <c r="AF23" s="29"/>
      <c r="AG23" s="36"/>
      <c r="AH23" s="26"/>
    </row>
    <row r="24" spans="1:34" ht="10.15" customHeight="1" x14ac:dyDescent="0.2">
      <c r="A24" s="10"/>
      <c r="C24" s="13"/>
      <c r="D24" s="4"/>
      <c r="E24" s="13"/>
      <c r="F24" s="13"/>
      <c r="G24" s="13"/>
      <c r="H24" s="13"/>
      <c r="I24" s="13"/>
      <c r="J24" s="13"/>
      <c r="K24" s="13"/>
      <c r="L24" s="13"/>
      <c r="M24" s="13"/>
      <c r="N24" s="13"/>
      <c r="O24" s="12"/>
      <c r="P24" s="128"/>
      <c r="R24" s="35"/>
      <c r="S24" s="24"/>
      <c r="T24" s="37"/>
      <c r="U24" s="38"/>
      <c r="V24" s="37"/>
      <c r="W24" s="37"/>
      <c r="X24" s="37"/>
      <c r="Y24" s="37"/>
      <c r="Z24" s="37"/>
      <c r="AA24" s="37"/>
      <c r="AB24" s="37"/>
      <c r="AC24" s="37"/>
      <c r="AD24" s="37"/>
      <c r="AE24" s="37"/>
      <c r="AF24" s="29"/>
      <c r="AG24" s="36"/>
      <c r="AH24" s="26"/>
    </row>
    <row r="25" spans="1:34" x14ac:dyDescent="0.2">
      <c r="A25" s="10"/>
      <c r="C25" s="12"/>
      <c r="E25" s="12"/>
      <c r="F25" s="12"/>
      <c r="G25" s="12"/>
      <c r="H25" s="12"/>
      <c r="I25" s="12"/>
      <c r="J25" s="12"/>
      <c r="K25" s="12"/>
      <c r="L25" s="12"/>
      <c r="M25" s="12"/>
      <c r="N25" s="12"/>
      <c r="O25" s="12"/>
      <c r="P25" s="128"/>
      <c r="R25" s="35"/>
      <c r="S25" s="24"/>
      <c r="T25" s="29"/>
      <c r="U25" s="24"/>
      <c r="V25" s="29"/>
      <c r="W25" s="29"/>
      <c r="X25" s="29"/>
      <c r="Y25" s="29"/>
      <c r="Z25" s="29"/>
      <c r="AA25" s="29"/>
      <c r="AB25" s="29"/>
      <c r="AC25" s="29"/>
      <c r="AD25" s="29"/>
      <c r="AE25" s="29"/>
      <c r="AF25" s="29"/>
      <c r="AG25" s="36"/>
      <c r="AH25" s="26"/>
    </row>
    <row r="26" spans="1:34" x14ac:dyDescent="0.2">
      <c r="A26" s="10"/>
      <c r="C26" s="12" t="s">
        <v>39</v>
      </c>
      <c r="E26" s="12"/>
      <c r="F26" s="12"/>
      <c r="G26" s="12"/>
      <c r="H26" s="12"/>
      <c r="I26" s="57" t="s">
        <v>40</v>
      </c>
      <c r="J26" s="233">
        <v>58.5</v>
      </c>
      <c r="K26" s="2" t="s">
        <v>41</v>
      </c>
      <c r="L26" s="12"/>
      <c r="M26" s="12" t="s">
        <v>20</v>
      </c>
      <c r="N26" s="14">
        <f>I18*J26</f>
        <v>4422.5999999999995</v>
      </c>
      <c r="O26" s="14"/>
      <c r="P26" s="128"/>
      <c r="R26" s="35"/>
      <c r="S26" s="24"/>
      <c r="T26" s="29" t="str">
        <f>C26</f>
        <v>Transhipment Charge</v>
      </c>
      <c r="U26" s="24"/>
      <c r="V26" s="29"/>
      <c r="W26" s="29"/>
      <c r="X26" s="29"/>
      <c r="Y26" s="29"/>
      <c r="Z26" s="58" t="s">
        <v>40</v>
      </c>
      <c r="AA26" s="59">
        <f>J26</f>
        <v>58.5</v>
      </c>
      <c r="AB26" s="2" t="s">
        <v>41</v>
      </c>
      <c r="AC26" s="29"/>
      <c r="AD26" s="29" t="s">
        <v>20</v>
      </c>
      <c r="AE26" s="39">
        <f>N26</f>
        <v>4422.5999999999995</v>
      </c>
      <c r="AF26" s="39"/>
      <c r="AG26" s="40"/>
      <c r="AH26" s="26"/>
    </row>
    <row r="27" spans="1:34" x14ac:dyDescent="0.2">
      <c r="A27" s="10"/>
      <c r="C27" s="12"/>
      <c r="E27" s="12"/>
      <c r="F27" s="12"/>
      <c r="G27" s="12"/>
      <c r="H27" s="12"/>
      <c r="L27" s="12"/>
      <c r="M27" s="12"/>
      <c r="N27" s="14"/>
      <c r="O27" s="14"/>
      <c r="P27" s="128"/>
      <c r="R27" s="35"/>
      <c r="S27" s="24"/>
      <c r="T27" s="29"/>
      <c r="U27" s="24"/>
      <c r="V27" s="29"/>
      <c r="W27" s="29"/>
      <c r="X27" s="29"/>
      <c r="Y27" s="29"/>
      <c r="Z27" s="29"/>
      <c r="AA27" s="29"/>
      <c r="AB27" s="24"/>
      <c r="AC27" s="29"/>
      <c r="AD27" s="29"/>
      <c r="AE27" s="39"/>
      <c r="AF27" s="39"/>
      <c r="AG27" s="40"/>
      <c r="AH27" s="26"/>
    </row>
    <row r="28" spans="1:34" x14ac:dyDescent="0.2">
      <c r="A28" s="10"/>
      <c r="C28" s="12"/>
      <c r="E28" s="12"/>
      <c r="F28" s="12"/>
      <c r="G28" s="12"/>
      <c r="H28" s="12"/>
      <c r="I28" s="12"/>
      <c r="L28" s="12"/>
      <c r="M28" s="12"/>
      <c r="N28" s="14"/>
      <c r="O28" s="14"/>
      <c r="P28" s="128"/>
      <c r="R28" s="35"/>
      <c r="S28" s="24"/>
      <c r="T28" s="29"/>
      <c r="U28" s="24"/>
      <c r="V28" s="29"/>
      <c r="W28" s="29"/>
      <c r="X28" s="29"/>
      <c r="Y28" s="29"/>
      <c r="Z28" s="29"/>
      <c r="AA28" s="24"/>
      <c r="AB28" s="24"/>
      <c r="AC28" s="29"/>
      <c r="AD28" s="29"/>
      <c r="AE28" s="39"/>
      <c r="AF28" s="39"/>
      <c r="AG28" s="40"/>
      <c r="AH28" s="26"/>
    </row>
    <row r="29" spans="1:34" x14ac:dyDescent="0.2">
      <c r="A29" s="10"/>
      <c r="D29" s="12"/>
      <c r="E29" s="12"/>
      <c r="F29" s="12"/>
      <c r="G29" s="12"/>
      <c r="H29" s="12"/>
      <c r="I29" s="12"/>
      <c r="J29" s="12"/>
      <c r="K29" s="12"/>
      <c r="L29" s="12"/>
      <c r="M29" s="13"/>
      <c r="N29" s="15"/>
      <c r="O29" s="14"/>
      <c r="P29" s="128"/>
      <c r="R29" s="35"/>
      <c r="S29" s="24"/>
      <c r="T29" s="24"/>
      <c r="U29" s="29"/>
      <c r="V29" s="29"/>
      <c r="W29" s="29"/>
      <c r="X29" s="29"/>
      <c r="Y29" s="29"/>
      <c r="Z29" s="29"/>
      <c r="AA29" s="29"/>
      <c r="AB29" s="29"/>
      <c r="AC29" s="29"/>
      <c r="AD29" s="37"/>
      <c r="AE29" s="41"/>
      <c r="AF29" s="39"/>
      <c r="AG29" s="40"/>
      <c r="AH29" s="26"/>
    </row>
    <row r="30" spans="1:34" ht="10.15" customHeight="1" x14ac:dyDescent="0.2">
      <c r="A30" s="10"/>
      <c r="D30" s="12"/>
      <c r="E30" s="12"/>
      <c r="F30" s="12"/>
      <c r="G30" s="12"/>
      <c r="H30" s="12"/>
      <c r="I30" s="12"/>
      <c r="J30" s="12"/>
      <c r="K30" s="12"/>
      <c r="L30" s="12"/>
      <c r="M30" s="12"/>
      <c r="N30" s="14"/>
      <c r="O30" s="14"/>
      <c r="P30" s="128"/>
      <c r="R30" s="35"/>
      <c r="S30" s="24"/>
      <c r="T30" s="24"/>
      <c r="U30" s="29"/>
      <c r="V30" s="29"/>
      <c r="W30" s="29"/>
      <c r="X30" s="29"/>
      <c r="Y30" s="29"/>
      <c r="Z30" s="29"/>
      <c r="AA30" s="29"/>
      <c r="AB30" s="29"/>
      <c r="AC30" s="29"/>
      <c r="AD30" s="29"/>
      <c r="AE30" s="39"/>
      <c r="AF30" s="39"/>
      <c r="AG30" s="40"/>
      <c r="AH30" s="26"/>
    </row>
    <row r="31" spans="1:34" x14ac:dyDescent="0.2">
      <c r="A31" s="10"/>
      <c r="D31" s="12"/>
      <c r="E31" s="12"/>
      <c r="F31" s="12"/>
      <c r="G31" s="12"/>
      <c r="H31" s="12"/>
      <c r="I31" s="12"/>
      <c r="J31" s="12"/>
      <c r="K31" s="12"/>
      <c r="L31" s="12"/>
      <c r="M31" s="12" t="s">
        <v>20</v>
      </c>
      <c r="N31" s="14">
        <f>SUM(N26:N28)</f>
        <v>4422.5999999999995</v>
      </c>
      <c r="O31" s="14"/>
      <c r="P31" s="128"/>
      <c r="R31" s="35"/>
      <c r="S31" s="24"/>
      <c r="T31" s="24"/>
      <c r="U31" s="29"/>
      <c r="V31" s="29"/>
      <c r="W31" s="29"/>
      <c r="X31" s="29"/>
      <c r="Y31" s="29"/>
      <c r="Z31" s="29"/>
      <c r="AA31" s="29"/>
      <c r="AB31" s="29"/>
      <c r="AC31" s="29"/>
      <c r="AD31" s="29" t="s">
        <v>20</v>
      </c>
      <c r="AE31" s="39">
        <f>SUM(AE26:AE28)</f>
        <v>4422.5999999999995</v>
      </c>
      <c r="AF31" s="39"/>
      <c r="AG31" s="40"/>
      <c r="AH31" s="26"/>
    </row>
    <row r="32" spans="1:34" ht="10.15" customHeight="1" thickBot="1" x14ac:dyDescent="0.25">
      <c r="A32" s="10"/>
      <c r="D32" s="12"/>
      <c r="E32" s="12"/>
      <c r="F32" s="12"/>
      <c r="G32" s="12"/>
      <c r="H32" s="12"/>
      <c r="I32" s="12"/>
      <c r="J32" s="12"/>
      <c r="K32" s="12"/>
      <c r="L32" s="12"/>
      <c r="M32" s="16"/>
      <c r="N32" s="16"/>
      <c r="O32" s="12"/>
      <c r="P32" s="128"/>
      <c r="R32" s="35"/>
      <c r="S32" s="24"/>
      <c r="T32" s="24"/>
      <c r="U32" s="29"/>
      <c r="V32" s="29"/>
      <c r="W32" s="29"/>
      <c r="X32" s="29"/>
      <c r="Y32" s="29"/>
      <c r="Z32" s="29"/>
      <c r="AA32" s="29"/>
      <c r="AB32" s="29"/>
      <c r="AC32" s="29"/>
      <c r="AD32" s="42"/>
      <c r="AE32" s="42"/>
      <c r="AF32" s="29"/>
      <c r="AG32" s="36"/>
      <c r="AH32" s="26"/>
    </row>
    <row r="33" spans="1:34" ht="10.15" customHeight="1" thickTop="1" x14ac:dyDescent="0.2">
      <c r="A33" s="10"/>
      <c r="D33" s="12"/>
      <c r="E33" s="12"/>
      <c r="F33" s="12"/>
      <c r="G33" s="12"/>
      <c r="H33" s="12"/>
      <c r="I33" s="12"/>
      <c r="J33" s="12"/>
      <c r="K33" s="12"/>
      <c r="L33" s="12"/>
      <c r="M33" s="12"/>
      <c r="N33" s="12"/>
      <c r="O33" s="12"/>
      <c r="P33" s="128"/>
      <c r="R33" s="35"/>
      <c r="S33" s="24"/>
      <c r="T33" s="24"/>
      <c r="U33" s="29"/>
      <c r="V33" s="29"/>
      <c r="W33" s="29"/>
      <c r="X33" s="29"/>
      <c r="Y33" s="29"/>
      <c r="Z33" s="29"/>
      <c r="AA33" s="29"/>
      <c r="AB33" s="29"/>
      <c r="AC33" s="29"/>
      <c r="AD33" s="29"/>
      <c r="AE33" s="29"/>
      <c r="AF33" s="29"/>
      <c r="AG33" s="36"/>
      <c r="AH33" s="26"/>
    </row>
    <row r="34" spans="1:34" ht="12.75" customHeight="1" x14ac:dyDescent="0.2">
      <c r="A34" s="10"/>
      <c r="D34" s="12"/>
      <c r="E34" s="12"/>
      <c r="F34" s="12"/>
      <c r="G34" s="12"/>
      <c r="H34" s="12"/>
      <c r="I34" s="12"/>
      <c r="J34" s="12"/>
      <c r="K34" s="12"/>
      <c r="L34" s="12"/>
      <c r="M34" s="12"/>
      <c r="N34" s="12"/>
      <c r="O34" s="12"/>
      <c r="P34" s="128"/>
      <c r="R34" s="35"/>
      <c r="S34" s="24"/>
      <c r="T34" s="24"/>
      <c r="U34" s="29"/>
      <c r="V34" s="29"/>
      <c r="W34" s="29"/>
      <c r="X34" s="29"/>
      <c r="Y34" s="29"/>
      <c r="Z34" s="29"/>
      <c r="AA34" s="29"/>
      <c r="AB34" s="29"/>
      <c r="AC34" s="29"/>
      <c r="AD34" s="29"/>
      <c r="AE34" s="29"/>
      <c r="AF34" s="29"/>
      <c r="AG34" s="36"/>
      <c r="AH34" s="26"/>
    </row>
    <row r="35" spans="1:34" x14ac:dyDescent="0.2">
      <c r="A35" s="10"/>
      <c r="C35" s="12" t="s">
        <v>21</v>
      </c>
      <c r="E35" s="213" t="s">
        <v>333</v>
      </c>
      <c r="F35" s="213"/>
      <c r="G35" s="213"/>
      <c r="H35" s="213"/>
      <c r="I35" s="213"/>
      <c r="J35" s="213"/>
      <c r="K35" s="213"/>
      <c r="L35" s="213"/>
      <c r="M35" s="213"/>
      <c r="N35" s="213"/>
      <c r="O35" s="213"/>
      <c r="P35" s="128"/>
      <c r="R35" s="35"/>
      <c r="S35" s="24"/>
      <c r="T35" s="29" t="str">
        <f>C35</f>
        <v>Singapore Dollars</v>
      </c>
      <c r="U35" s="24"/>
      <c r="V35" s="214" t="str">
        <f>E35</f>
        <v>Four Thousand Four Hundred Twenty Two and cents Sixty only</v>
      </c>
      <c r="W35" s="214"/>
      <c r="X35" s="214"/>
      <c r="Y35" s="214"/>
      <c r="Z35" s="214"/>
      <c r="AA35" s="214"/>
      <c r="AB35" s="214"/>
      <c r="AC35" s="214"/>
      <c r="AD35" s="214"/>
      <c r="AE35" s="214"/>
      <c r="AF35" s="29"/>
      <c r="AG35" s="36"/>
      <c r="AH35" s="26"/>
    </row>
    <row r="36" spans="1:34" ht="12.75" customHeight="1" x14ac:dyDescent="0.2">
      <c r="A36" s="10"/>
      <c r="D36" s="12"/>
      <c r="E36" s="12"/>
      <c r="F36" s="12"/>
      <c r="G36" s="12"/>
      <c r="H36" s="12"/>
      <c r="I36" s="12"/>
      <c r="J36" s="12"/>
      <c r="K36" s="12"/>
      <c r="L36" s="12"/>
      <c r="M36" s="12"/>
      <c r="N36" s="12"/>
      <c r="O36" s="12"/>
      <c r="P36" s="128"/>
      <c r="R36" s="35"/>
      <c r="S36" s="24"/>
      <c r="T36" s="24"/>
      <c r="U36" s="29"/>
      <c r="V36" s="29"/>
      <c r="W36" s="29"/>
      <c r="X36" s="29"/>
      <c r="Y36" s="29"/>
      <c r="Z36" s="29"/>
      <c r="AA36" s="29"/>
      <c r="AB36" s="29"/>
      <c r="AC36" s="29"/>
      <c r="AD36" s="29"/>
      <c r="AE36" s="29"/>
      <c r="AF36" s="29"/>
      <c r="AG36" s="36"/>
      <c r="AH36" s="26"/>
    </row>
    <row r="37" spans="1:34" ht="12.75" customHeight="1" x14ac:dyDescent="0.2">
      <c r="A37" s="10"/>
      <c r="P37" s="128"/>
      <c r="R37" s="35"/>
      <c r="S37" s="24"/>
      <c r="T37" s="24"/>
      <c r="U37" s="24"/>
      <c r="V37" s="24"/>
      <c r="W37" s="24"/>
      <c r="X37" s="24"/>
      <c r="Y37" s="24"/>
      <c r="Z37" s="24"/>
      <c r="AA37" s="24"/>
      <c r="AB37" s="24"/>
      <c r="AC37" s="24"/>
      <c r="AD37" s="24"/>
      <c r="AE37" s="24"/>
      <c r="AF37" s="24"/>
      <c r="AG37" s="35"/>
      <c r="AH37" s="26"/>
    </row>
    <row r="38" spans="1:34" ht="12.75" customHeight="1" x14ac:dyDescent="0.2">
      <c r="R38" s="24"/>
      <c r="S38" s="24"/>
      <c r="T38" s="24"/>
      <c r="U38" s="24"/>
      <c r="V38" s="24"/>
      <c r="W38" s="24"/>
      <c r="X38" s="24"/>
      <c r="Y38" s="24"/>
      <c r="Z38" s="24"/>
      <c r="AA38" s="24"/>
      <c r="AB38" s="24"/>
      <c r="AC38" s="24"/>
      <c r="AD38" s="24"/>
      <c r="AE38" s="24"/>
      <c r="AF38" s="24"/>
      <c r="AG38" s="24"/>
      <c r="AH38" s="26"/>
    </row>
    <row r="39" spans="1:34" ht="12.75" customHeight="1" x14ac:dyDescent="0.2">
      <c r="C39" s="2" t="s">
        <v>42</v>
      </c>
      <c r="R39" s="24"/>
      <c r="S39" s="24"/>
      <c r="T39" s="215" t="str">
        <f>C39</f>
        <v>Payment to be made to DINAMIK SHIPPING PTE LTD by Telegraphic Transfer to our account</v>
      </c>
      <c r="U39" s="215"/>
      <c r="V39" s="215"/>
      <c r="W39" s="215"/>
      <c r="X39" s="215"/>
      <c r="Y39" s="215"/>
      <c r="Z39" s="215"/>
      <c r="AA39" s="215"/>
      <c r="AB39" s="215"/>
      <c r="AC39" s="215"/>
      <c r="AD39" s="215"/>
      <c r="AE39" s="215"/>
      <c r="AF39" s="24"/>
      <c r="AG39" s="24"/>
      <c r="AH39" s="26"/>
    </row>
    <row r="40" spans="1:34" ht="12.75" customHeight="1" x14ac:dyDescent="0.2">
      <c r="C40" s="2" t="s">
        <v>43</v>
      </c>
      <c r="R40" s="24"/>
      <c r="S40" s="24"/>
      <c r="T40" s="215" t="str">
        <f>C40</f>
        <v>No. 651-869620-001 with OCBC Bank (Singapore), MBFC Branch, Swift Code: OCBCSGSG</v>
      </c>
      <c r="U40" s="215"/>
      <c r="V40" s="215"/>
      <c r="W40" s="215"/>
      <c r="X40" s="215"/>
      <c r="Y40" s="215"/>
      <c r="Z40" s="215"/>
      <c r="AA40" s="215"/>
      <c r="AB40" s="215"/>
      <c r="AC40" s="215"/>
      <c r="AD40" s="215"/>
      <c r="AE40" s="215"/>
      <c r="AF40" s="24"/>
      <c r="AG40" s="24"/>
      <c r="AH40" s="26"/>
    </row>
    <row r="41" spans="1:34" ht="12.75" customHeight="1" x14ac:dyDescent="0.2">
      <c r="R41" s="24"/>
      <c r="S41" s="24"/>
      <c r="T41" s="24"/>
      <c r="U41" s="24"/>
      <c r="V41" s="24"/>
      <c r="W41" s="24"/>
      <c r="X41" s="24"/>
      <c r="Y41" s="24"/>
      <c r="Z41" s="24"/>
      <c r="AA41" s="24"/>
      <c r="AB41" s="24"/>
      <c r="AC41" s="24"/>
      <c r="AD41" s="24"/>
      <c r="AE41" s="24"/>
      <c r="AF41" s="24"/>
      <c r="AG41" s="24"/>
      <c r="AH41" s="26"/>
    </row>
    <row r="42" spans="1:34" ht="12.75" customHeight="1" x14ac:dyDescent="0.2">
      <c r="D42" s="18"/>
      <c r="R42" s="24"/>
      <c r="S42" s="24"/>
      <c r="T42" s="24"/>
      <c r="U42" s="43"/>
      <c r="V42" s="24"/>
      <c r="W42" s="24"/>
      <c r="X42" s="24"/>
      <c r="Y42" s="24"/>
      <c r="Z42" s="24"/>
      <c r="AA42" s="24"/>
      <c r="AB42" s="24"/>
      <c r="AC42" s="24"/>
      <c r="AD42" s="24"/>
      <c r="AE42" s="24"/>
      <c r="AF42" s="24"/>
      <c r="AG42" s="24"/>
      <c r="AH42" s="26"/>
    </row>
    <row r="43" spans="1:34" ht="12.75" customHeight="1" x14ac:dyDescent="0.2">
      <c r="R43" s="24"/>
      <c r="S43" s="24"/>
      <c r="T43" s="24"/>
      <c r="U43" s="24"/>
      <c r="V43" s="24"/>
      <c r="W43" s="24"/>
      <c r="X43" s="24"/>
      <c r="Y43" s="24"/>
      <c r="Z43" s="24"/>
      <c r="AA43" s="24"/>
      <c r="AB43" s="24"/>
      <c r="AC43" s="24"/>
      <c r="AD43" s="24"/>
      <c r="AE43" s="24"/>
      <c r="AF43" s="24"/>
      <c r="AG43" s="24"/>
      <c r="AH43" s="26"/>
    </row>
    <row r="44" spans="1:34" x14ac:dyDescent="0.2">
      <c r="N44" s="150" t="s">
        <v>23</v>
      </c>
      <c r="O44" s="150"/>
      <c r="R44" s="24"/>
      <c r="S44" s="24"/>
      <c r="T44" s="24"/>
      <c r="U44" s="24"/>
      <c r="V44" s="24"/>
      <c r="W44" s="24"/>
      <c r="X44" s="24"/>
      <c r="Y44" s="24"/>
      <c r="Z44" s="24"/>
      <c r="AA44" s="209" t="s">
        <v>24</v>
      </c>
      <c r="AB44" s="209"/>
      <c r="AC44" s="209"/>
      <c r="AD44" s="209"/>
      <c r="AE44" s="209"/>
      <c r="AF44" s="149"/>
      <c r="AG44" s="149"/>
      <c r="AH44" s="26"/>
    </row>
    <row r="45" spans="1:34" x14ac:dyDescent="0.2">
      <c r="R45" s="24"/>
      <c r="S45" s="24"/>
      <c r="T45" s="24"/>
      <c r="U45" s="24"/>
      <c r="V45" s="24"/>
      <c r="W45" s="24"/>
      <c r="X45" s="24"/>
      <c r="Y45" s="24"/>
      <c r="Z45" s="24"/>
      <c r="AA45" s="24"/>
      <c r="AB45" s="24"/>
      <c r="AC45" s="24"/>
      <c r="AD45" s="24"/>
      <c r="AE45" s="24"/>
      <c r="AF45" s="24"/>
      <c r="AG45" s="24"/>
      <c r="AH45" s="26"/>
    </row>
    <row r="46" spans="1:34" x14ac:dyDescent="0.2">
      <c r="R46" s="24"/>
      <c r="S46" s="24"/>
      <c r="T46" s="24"/>
      <c r="U46" s="24"/>
      <c r="V46" s="24"/>
      <c r="W46" s="24"/>
      <c r="X46" s="24"/>
      <c r="Y46" s="24"/>
      <c r="Z46" s="24"/>
      <c r="AA46" s="24"/>
      <c r="AB46" s="24"/>
      <c r="AC46" s="24"/>
      <c r="AD46" s="24"/>
      <c r="AE46" s="24"/>
      <c r="AF46" s="24"/>
      <c r="AG46" s="24"/>
      <c r="AH46" s="26"/>
    </row>
    <row r="47" spans="1:34" x14ac:dyDescent="0.2">
      <c r="R47" s="24"/>
      <c r="S47" s="24"/>
      <c r="T47" s="24"/>
      <c r="U47" s="24"/>
      <c r="V47" s="24"/>
      <c r="W47" s="24"/>
      <c r="X47" s="24"/>
      <c r="Y47" s="24"/>
      <c r="Z47" s="24"/>
      <c r="AA47" s="24"/>
      <c r="AB47" s="24"/>
      <c r="AC47" s="24"/>
      <c r="AD47" s="24"/>
      <c r="AE47" s="24"/>
      <c r="AF47" s="24"/>
      <c r="AG47" s="24"/>
      <c r="AH47" s="26"/>
    </row>
    <row r="48" spans="1:34" x14ac:dyDescent="0.2">
      <c r="N48" s="150" t="s">
        <v>25</v>
      </c>
      <c r="O48" s="150"/>
      <c r="R48" s="24"/>
      <c r="S48" s="24"/>
      <c r="T48" s="26"/>
      <c r="U48" s="24"/>
      <c r="V48" s="24"/>
      <c r="W48" s="24"/>
      <c r="X48" s="24"/>
      <c r="Y48" s="24"/>
      <c r="Z48" s="24"/>
      <c r="AA48" s="210" t="s">
        <v>25</v>
      </c>
      <c r="AB48" s="210"/>
      <c r="AC48" s="210"/>
      <c r="AD48" s="210"/>
      <c r="AE48" s="210"/>
      <c r="AF48" s="149"/>
      <c r="AG48" s="149"/>
      <c r="AH48" s="26"/>
    </row>
    <row r="49" spans="1:34" ht="12.75" customHeight="1" x14ac:dyDescent="0.2">
      <c r="C49" s="19" t="s">
        <v>26</v>
      </c>
      <c r="R49" s="24"/>
      <c r="S49" s="24"/>
      <c r="T49" s="44" t="s">
        <v>26</v>
      </c>
      <c r="U49" s="24"/>
      <c r="V49" s="24"/>
      <c r="W49" s="24"/>
      <c r="X49" s="24"/>
      <c r="Y49" s="24"/>
      <c r="Z49" s="24"/>
      <c r="AA49" s="24"/>
      <c r="AB49" s="24"/>
      <c r="AC49" s="24"/>
      <c r="AD49" s="24"/>
      <c r="AE49" s="24"/>
      <c r="AF49" s="24"/>
      <c r="AG49" s="24"/>
      <c r="AH49" s="26"/>
    </row>
    <row r="50" spans="1:34" ht="12.75" customHeight="1" x14ac:dyDescent="0.2">
      <c r="R50" s="24"/>
      <c r="S50" s="38"/>
      <c r="T50" s="38"/>
      <c r="U50" s="38"/>
      <c r="V50" s="38"/>
      <c r="W50" s="38"/>
      <c r="X50" s="38"/>
      <c r="Y50" s="38"/>
      <c r="Z50" s="38"/>
      <c r="AA50" s="38"/>
      <c r="AB50" s="38"/>
      <c r="AC50" s="38"/>
      <c r="AD50" s="38"/>
      <c r="AE50" s="38"/>
      <c r="AF50" s="38"/>
      <c r="AG50" s="24"/>
      <c r="AH50" s="26"/>
    </row>
    <row r="51" spans="1:34" ht="3" customHeight="1" x14ac:dyDescent="0.2">
      <c r="R51" s="24"/>
      <c r="S51" s="24"/>
      <c r="T51" s="24"/>
      <c r="U51" s="24"/>
      <c r="V51" s="24"/>
      <c r="W51" s="24"/>
      <c r="X51" s="24"/>
      <c r="Y51" s="24"/>
      <c r="Z51" s="24"/>
      <c r="AA51" s="24"/>
      <c r="AB51" s="24"/>
      <c r="AC51" s="24"/>
      <c r="AD51" s="24"/>
      <c r="AE51" s="24"/>
      <c r="AF51" s="24"/>
      <c r="AG51" s="24"/>
      <c r="AH51" s="26"/>
    </row>
    <row r="52" spans="1:34" ht="11.65" customHeight="1" x14ac:dyDescent="0.25">
      <c r="K52" s="9"/>
      <c r="L52" s="9"/>
      <c r="S52" s="45"/>
      <c r="T52" s="45" t="s">
        <v>27</v>
      </c>
      <c r="U52" s="24"/>
      <c r="V52" s="24"/>
      <c r="W52" s="24"/>
      <c r="X52" s="24"/>
      <c r="Y52" s="24"/>
      <c r="Z52" s="24"/>
      <c r="AA52" s="24"/>
      <c r="AB52" s="24"/>
      <c r="AC52" s="24"/>
      <c r="AD52" s="24"/>
      <c r="AE52" s="24"/>
      <c r="AF52" s="24"/>
      <c r="AG52" s="24"/>
      <c r="AH52" s="26"/>
    </row>
    <row r="53" spans="1:34" ht="11.65" customHeight="1" x14ac:dyDescent="0.25">
      <c r="K53" s="9"/>
      <c r="L53" s="9"/>
      <c r="R53" s="43"/>
      <c r="S53" s="43"/>
      <c r="T53" s="208" t="s">
        <v>328</v>
      </c>
      <c r="U53" s="43"/>
      <c r="V53" s="43"/>
      <c r="W53" s="43"/>
      <c r="X53" s="43"/>
      <c r="Y53" s="43"/>
      <c r="Z53" s="43"/>
      <c r="AA53" s="43"/>
      <c r="AB53" s="24"/>
      <c r="AC53" s="46"/>
      <c r="AD53" s="43"/>
      <c r="AE53" s="43"/>
      <c r="AF53" s="43"/>
      <c r="AG53" s="43"/>
      <c r="AH53" s="47"/>
    </row>
    <row r="54" spans="1:34" ht="11.65" customHeight="1" x14ac:dyDescent="0.25">
      <c r="K54" s="9"/>
      <c r="L54" s="9"/>
      <c r="R54" s="43"/>
      <c r="S54" s="43"/>
      <c r="T54" s="24"/>
      <c r="U54" s="24"/>
      <c r="V54" s="43"/>
      <c r="W54" s="43"/>
      <c r="X54" s="43"/>
      <c r="Y54" s="43"/>
      <c r="AB54" s="24"/>
      <c r="AF54" s="43"/>
      <c r="AG54" s="43"/>
      <c r="AH54" s="61"/>
    </row>
    <row r="55" spans="1:34" ht="11.65" customHeight="1" x14ac:dyDescent="0.25">
      <c r="A55" s="9"/>
      <c r="B55" s="9"/>
      <c r="D55" s="9"/>
      <c r="K55" s="9"/>
      <c r="L55" s="9"/>
      <c r="R55" s="43"/>
      <c r="S55" s="43"/>
      <c r="T55" s="24"/>
      <c r="U55" s="24"/>
      <c r="V55" s="43"/>
      <c r="W55" s="43"/>
      <c r="X55" s="43"/>
      <c r="Y55" s="43"/>
      <c r="Z55" s="48" t="s">
        <v>44</v>
      </c>
      <c r="AA55" s="21" t="s">
        <v>241</v>
      </c>
      <c r="AB55" s="24"/>
      <c r="AC55" s="45" t="s">
        <v>45</v>
      </c>
      <c r="AD55" s="24"/>
      <c r="AE55" s="23">
        <f>SUM(U56:U61)</f>
        <v>1364.6</v>
      </c>
      <c r="AF55" s="24"/>
      <c r="AG55" s="24"/>
      <c r="AH55" s="61"/>
    </row>
    <row r="56" spans="1:34" ht="11.65" customHeight="1" x14ac:dyDescent="0.25">
      <c r="A56" s="9"/>
      <c r="B56" s="9"/>
      <c r="D56" s="9"/>
      <c r="K56" s="9"/>
      <c r="L56" s="9"/>
      <c r="R56" s="24"/>
      <c r="S56" s="24"/>
      <c r="T56" s="48" t="s">
        <v>46</v>
      </c>
      <c r="U56" s="55">
        <f>T18/15*25.9</f>
        <v>103.6</v>
      </c>
      <c r="V56" s="43"/>
      <c r="W56" s="46"/>
      <c r="X56" s="43"/>
      <c r="Y56" s="43"/>
      <c r="Z56" s="49" t="s">
        <v>47</v>
      </c>
      <c r="AA56" s="22">
        <v>20</v>
      </c>
      <c r="AB56" s="24"/>
      <c r="AC56" s="45" t="s">
        <v>48</v>
      </c>
      <c r="AD56" s="24"/>
      <c r="AE56" s="23">
        <f>SUM(X57:X61)</f>
        <v>1188</v>
      </c>
      <c r="AF56" s="24"/>
      <c r="AG56" s="24"/>
      <c r="AH56" s="61"/>
    </row>
    <row r="57" spans="1:34" ht="11.65" customHeight="1" x14ac:dyDescent="0.25">
      <c r="A57" s="9"/>
      <c r="B57" s="9"/>
      <c r="D57" s="9"/>
      <c r="K57" s="9"/>
      <c r="L57" s="9"/>
      <c r="R57" s="24"/>
      <c r="S57" s="24"/>
      <c r="T57" s="49" t="s">
        <v>49</v>
      </c>
      <c r="U57" s="21">
        <f>T18/15*82</f>
        <v>328</v>
      </c>
      <c r="V57" s="24"/>
      <c r="W57" s="48" t="s">
        <v>134</v>
      </c>
      <c r="X57" s="21">
        <f>T18/15*5</f>
        <v>20</v>
      </c>
      <c r="Y57" s="43"/>
      <c r="Z57" s="49" t="s">
        <v>50</v>
      </c>
      <c r="AA57" s="22" t="s">
        <v>241</v>
      </c>
      <c r="AB57" s="24"/>
      <c r="AC57" s="45" t="s">
        <v>51</v>
      </c>
      <c r="AD57" s="24"/>
      <c r="AE57" s="23">
        <f>SUM(AA55:AA61)</f>
        <v>142</v>
      </c>
      <c r="AF57" s="24"/>
      <c r="AG57" s="24"/>
      <c r="AH57" s="61"/>
    </row>
    <row r="58" spans="1:34" ht="11.65" customHeight="1" x14ac:dyDescent="0.25">
      <c r="A58" s="9"/>
      <c r="B58" s="9"/>
      <c r="D58" s="9"/>
      <c r="F58" s="9"/>
      <c r="G58" s="9"/>
      <c r="H58" s="9"/>
      <c r="I58" s="9"/>
      <c r="K58" s="9"/>
      <c r="L58" s="9"/>
      <c r="N58" s="20"/>
      <c r="O58" s="9"/>
      <c r="R58" s="24"/>
      <c r="S58" s="24"/>
      <c r="T58" s="49" t="s">
        <v>52</v>
      </c>
      <c r="U58" s="22">
        <f>T18/15*63.25</f>
        <v>253</v>
      </c>
      <c r="V58" s="24"/>
      <c r="W58" s="48" t="s">
        <v>53</v>
      </c>
      <c r="X58" s="21">
        <f>T18/15*100</f>
        <v>400</v>
      </c>
      <c r="Y58" s="43"/>
      <c r="Z58" s="49" t="s">
        <v>54</v>
      </c>
      <c r="AA58" s="22">
        <f>(1.5*15)*(T18/15)</f>
        <v>90</v>
      </c>
      <c r="AB58" s="24"/>
      <c r="AC58" s="50" t="s">
        <v>55</v>
      </c>
      <c r="AD58" s="51"/>
      <c r="AE58" s="22">
        <f>SUM(AE55:AE57)</f>
        <v>2694.6</v>
      </c>
      <c r="AF58" s="24"/>
      <c r="AG58" s="24"/>
      <c r="AH58" s="26"/>
    </row>
    <row r="59" spans="1:34" ht="11.65" customHeight="1" x14ac:dyDescent="0.25">
      <c r="A59" s="9"/>
      <c r="B59" s="9"/>
      <c r="D59" s="9"/>
      <c r="F59" s="9"/>
      <c r="G59" s="9"/>
      <c r="H59" s="9"/>
      <c r="I59" s="9"/>
      <c r="K59" s="9"/>
      <c r="L59" s="9"/>
      <c r="R59" s="24"/>
      <c r="S59" s="24"/>
      <c r="T59" s="54" t="s">
        <v>56</v>
      </c>
      <c r="U59" s="22">
        <f>T18/15*80</f>
        <v>320</v>
      </c>
      <c r="V59" s="24"/>
      <c r="W59" s="49" t="s">
        <v>57</v>
      </c>
      <c r="X59" s="22">
        <f>T18/15*180</f>
        <v>720</v>
      </c>
      <c r="Y59" s="52"/>
      <c r="Z59" s="138"/>
      <c r="AA59" s="22"/>
      <c r="AB59" s="24"/>
      <c r="AC59" s="43"/>
      <c r="AD59" s="43"/>
      <c r="AE59" s="43"/>
      <c r="AF59" s="24"/>
      <c r="AG59" s="24"/>
      <c r="AH59" s="26"/>
    </row>
    <row r="60" spans="1:34" ht="11.65" customHeight="1" x14ac:dyDescent="0.25">
      <c r="A60" s="9"/>
      <c r="B60" s="9"/>
      <c r="D60" s="9"/>
      <c r="F60" s="9"/>
      <c r="G60" s="9"/>
      <c r="H60" s="9"/>
      <c r="I60" s="9"/>
      <c r="K60" s="9"/>
      <c r="L60" s="9"/>
      <c r="R60" s="24"/>
      <c r="S60" s="24"/>
      <c r="T60" s="48" t="s">
        <v>59</v>
      </c>
      <c r="U60" s="21">
        <f>T18/15*50</f>
        <v>200</v>
      </c>
      <c r="V60" s="24"/>
      <c r="W60" s="49" t="s">
        <v>60</v>
      </c>
      <c r="X60" s="22">
        <f>T18/15*12</f>
        <v>48</v>
      </c>
      <c r="Y60" s="52"/>
      <c r="Z60" s="49" t="s">
        <v>61</v>
      </c>
      <c r="AA60" s="22">
        <f>8*(T18/15)</f>
        <v>32</v>
      </c>
      <c r="AB60" s="24"/>
      <c r="AC60" s="43"/>
      <c r="AD60" s="43"/>
      <c r="AE60" s="43"/>
      <c r="AF60" s="24"/>
      <c r="AG60" s="24"/>
      <c r="AH60" s="26"/>
    </row>
    <row r="61" spans="1:34" ht="11.65" customHeight="1" x14ac:dyDescent="0.25">
      <c r="A61" s="9"/>
      <c r="B61" s="9"/>
      <c r="D61" s="9"/>
      <c r="F61" s="9"/>
      <c r="G61" s="9"/>
      <c r="H61" s="9"/>
      <c r="I61" s="9"/>
      <c r="K61" s="9"/>
      <c r="L61" s="9"/>
      <c r="R61" s="24"/>
      <c r="S61" s="24"/>
      <c r="T61" s="49" t="s">
        <v>62</v>
      </c>
      <c r="U61" s="22">
        <f>T18/15*40</f>
        <v>160</v>
      </c>
      <c r="V61" s="24"/>
      <c r="W61" s="49" t="s">
        <v>63</v>
      </c>
      <c r="X61" s="22">
        <v>0</v>
      </c>
      <c r="Y61" s="52"/>
      <c r="Z61" s="49" t="s">
        <v>64</v>
      </c>
      <c r="AA61" s="22">
        <v>0</v>
      </c>
      <c r="AB61" s="24"/>
      <c r="AC61" s="53" t="s">
        <v>65</v>
      </c>
      <c r="AD61" s="38"/>
      <c r="AE61" s="21">
        <f>AE31-AE58</f>
        <v>1727.9999999999995</v>
      </c>
      <c r="AF61" s="24"/>
      <c r="AG61" s="24"/>
      <c r="AH61" s="61"/>
    </row>
    <row r="62" spans="1:34" ht="13.5" x14ac:dyDescent="0.25">
      <c r="A62" s="9"/>
      <c r="B62" s="9"/>
      <c r="C62" s="9"/>
      <c r="D62" s="9"/>
      <c r="G62" s="9"/>
      <c r="H62" s="9"/>
      <c r="I62" s="9"/>
      <c r="J62" s="9"/>
      <c r="K62" s="9"/>
      <c r="L62" s="9"/>
      <c r="M62" s="9"/>
      <c r="N62" s="9"/>
      <c r="O62" s="9"/>
      <c r="P62" s="9"/>
      <c r="Q62" s="9"/>
    </row>
  </sheetData>
  <mergeCells count="20">
    <mergeCell ref="C22:F22"/>
    <mergeCell ref="AC7:AE7"/>
    <mergeCell ref="AD9:AE9"/>
    <mergeCell ref="C17:G17"/>
    <mergeCell ref="K17:L17"/>
    <mergeCell ref="T17:X17"/>
    <mergeCell ref="AB17:AC17"/>
    <mergeCell ref="D18:H18"/>
    <mergeCell ref="AC18:AE18"/>
    <mergeCell ref="C19:F19"/>
    <mergeCell ref="K19:L19"/>
    <mergeCell ref="AB19:AC19"/>
    <mergeCell ref="AA44:AE44"/>
    <mergeCell ref="AA48:AE48"/>
    <mergeCell ref="F23:G23"/>
    <mergeCell ref="W23:X23"/>
    <mergeCell ref="E35:O35"/>
    <mergeCell ref="V35:AE35"/>
    <mergeCell ref="T39:AE39"/>
    <mergeCell ref="T40:AE40"/>
  </mergeCells>
  <pageMargins left="0.7" right="0.7" top="0.75" bottom="0.75" header="0.3" footer="0.3"/>
  <pageSetup paperSize="9" fitToWidth="0" orientation="portrait" r:id="rId1"/>
  <headerFooter alignWithMargins="0"/>
  <extLst>
    <ext xmlns:x14="http://schemas.microsoft.com/office/spreadsheetml/2009/9/main" uri="{CCE6A557-97BC-4b89-ADB6-D9C93CAAB3DF}">
      <x14:dataValidations xmlns:xm="http://schemas.microsoft.com/office/excel/2006/main" count="9">
        <x14:dataValidation type="list" allowBlank="1" showInputMessage="1" showErrorMessage="1" xr:uid="{4B6AC80A-3B17-4312-9992-E5EF92FC66CC}">
          <x14:formula1>
            <xm:f>'Drop down list '!$D:$D</xm:f>
          </x14:formula1>
          <xm:sqref>D18:H18</xm:sqref>
        </x14:dataValidation>
        <x14:dataValidation type="list" allowBlank="1" showInputMessage="1" showErrorMessage="1" xr:uid="{6F0F0828-9D6D-479D-98B4-43A50623A730}">
          <x14:formula1>
            <xm:f>'Drop down list '!$G:$G</xm:f>
          </x14:formula1>
          <xm:sqref>C22:F22</xm:sqref>
        </x14:dataValidation>
        <x14:dataValidation type="list" allowBlank="1" showInputMessage="1" showErrorMessage="1" xr:uid="{69E620C4-6B60-4E6C-9F66-02F146269CA6}">
          <x14:formula1>
            <xm:f>'Drop down list '!$I:$I</xm:f>
          </x14:formula1>
          <xm:sqref>N12 K19:L19 F23:G23</xm:sqref>
        </x14:dataValidation>
        <x14:dataValidation type="list" allowBlank="1" showInputMessage="1" showErrorMessage="1" xr:uid="{3B167ED0-32F3-4957-B15D-169F66076002}">
          <x14:formula1>
            <xm:f>'Drop down list '!$H:$H</xm:f>
          </x14:formula1>
          <xm:sqref>M12 J19 E23</xm:sqref>
        </x14:dataValidation>
        <x14:dataValidation type="list" allowBlank="1" showInputMessage="1" showErrorMessage="1" xr:uid="{7DABB497-9856-406A-BED2-335AC22E5666}">
          <x14:formula1>
            <xm:f>'Drop down list '!$A:$A</xm:f>
          </x14:formula1>
          <xm:sqref>C17:G17</xm:sqref>
        </x14:dataValidation>
        <x14:dataValidation type="list" allowBlank="1" showInputMessage="1" showErrorMessage="1" xr:uid="{E200123B-97BC-48F5-A16E-E55A4BB6F7C5}">
          <x14:formula1>
            <xm:f>'Drop down list '!$C:$C</xm:f>
          </x14:formula1>
          <xm:sqref>C18</xm:sqref>
        </x14:dataValidation>
        <x14:dataValidation type="list" allowBlank="1" showInputMessage="1" showErrorMessage="1" xr:uid="{920253D6-9336-4B00-BAF2-5F9BDF1B3185}">
          <x14:formula1>
            <xm:f>'Drop down list '!$E:$E</xm:f>
          </x14:formula1>
          <xm:sqref>L18</xm:sqref>
        </x14:dataValidation>
        <x14:dataValidation type="list" allowBlank="1" showInputMessage="1" showErrorMessage="1" xr:uid="{2E92547B-087A-48EB-8FD5-B04E965FCB6F}">
          <x14:formula1>
            <xm:f>'Drop down list '!$B:$B</xm:f>
          </x14:formula1>
          <xm:sqref>C19:F19</xm:sqref>
        </x14:dataValidation>
        <x14:dataValidation type="list" allowBlank="1" showInputMessage="1" showErrorMessage="1" xr:uid="{1B822CA6-629D-400D-95AB-7C16AB7877BB}">
          <x14:formula1>
            <xm:f>'Drop down list '!$F:$F</xm:f>
          </x14:formula1>
          <xm:sqref>J20</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7FFD1-19D2-44DD-9016-4A8CE711AF35}">
  <sheetPr codeName="Sheet10"/>
  <dimension ref="A1:J43"/>
  <sheetViews>
    <sheetView tabSelected="1" zoomScaleNormal="100" workbookViewId="0">
      <selection activeCell="E22" sqref="E22"/>
    </sheetView>
  </sheetViews>
  <sheetFormatPr defaultRowHeight="14.25" customHeight="1" x14ac:dyDescent="0.2"/>
  <cols>
    <col min="1" max="1" width="15.28515625" bestFit="1" customWidth="1"/>
    <col min="2" max="2" width="15.28515625" customWidth="1"/>
    <col min="3" max="3" width="10.7109375" bestFit="1" customWidth="1"/>
    <col min="4" max="4" width="10" bestFit="1" customWidth="1"/>
    <col min="5" max="5" width="11" bestFit="1" customWidth="1"/>
    <col min="8" max="8" width="10.140625" bestFit="1" customWidth="1"/>
    <col min="9" max="9" width="9.28515625" style="177" bestFit="1" customWidth="1"/>
    <col min="10" max="10" width="11.7109375" style="177" bestFit="1" customWidth="1"/>
  </cols>
  <sheetData>
    <row r="1" spans="1:10" ht="14.25" customHeight="1" x14ac:dyDescent="0.2">
      <c r="A1" s="230" t="s">
        <v>332</v>
      </c>
      <c r="B1" s="231"/>
      <c r="C1" s="231"/>
      <c r="D1" s="141"/>
      <c r="E1" s="198"/>
      <c r="H1" s="129">
        <v>2026</v>
      </c>
      <c r="I1" s="189"/>
      <c r="J1" s="188"/>
    </row>
    <row r="2" spans="1:10" ht="14.25" customHeight="1" x14ac:dyDescent="0.2">
      <c r="A2" s="129"/>
      <c r="B2" s="129" t="s">
        <v>37</v>
      </c>
      <c r="C2" s="130" t="s">
        <v>20</v>
      </c>
      <c r="D2" s="158" t="s">
        <v>20</v>
      </c>
      <c r="E2" s="158" t="s">
        <v>66</v>
      </c>
      <c r="F2" s="155"/>
      <c r="H2" s="129"/>
      <c r="I2" s="178" t="s">
        <v>37</v>
      </c>
      <c r="J2" s="185" t="s">
        <v>20</v>
      </c>
    </row>
    <row r="3" spans="1:10" ht="12.75" customHeight="1" x14ac:dyDescent="0.2">
      <c r="A3" s="139" t="s">
        <v>338</v>
      </c>
      <c r="B3" s="129"/>
      <c r="C3" s="157"/>
      <c r="D3" s="156"/>
      <c r="E3" s="156"/>
      <c r="H3" s="155" t="s">
        <v>170</v>
      </c>
      <c r="I3" s="186">
        <v>2658.6000000000004</v>
      </c>
      <c r="J3" s="181">
        <v>143564.4</v>
      </c>
    </row>
    <row r="4" spans="1:10" ht="14.25" customHeight="1" x14ac:dyDescent="0.2">
      <c r="A4" s="139"/>
      <c r="B4" s="129"/>
      <c r="C4" s="157"/>
      <c r="D4" s="156"/>
      <c r="E4" s="156"/>
      <c r="H4" s="155" t="s">
        <v>171</v>
      </c>
      <c r="I4" s="186">
        <v>3326.3999999999992</v>
      </c>
      <c r="J4" s="181">
        <v>179625.59999999998</v>
      </c>
    </row>
    <row r="5" spans="1:10" ht="14.25" customHeight="1" x14ac:dyDescent="0.2">
      <c r="A5" s="139"/>
      <c r="B5" s="129"/>
      <c r="C5" s="157"/>
      <c r="D5" s="156"/>
      <c r="E5" s="156"/>
      <c r="H5" s="155" t="s">
        <v>172</v>
      </c>
      <c r="I5" s="186">
        <v>3648.9600000000005</v>
      </c>
      <c r="J5" s="181">
        <v>197043.84000000003</v>
      </c>
    </row>
    <row r="6" spans="1:10" ht="14.25" customHeight="1" x14ac:dyDescent="0.2">
      <c r="A6" s="139"/>
      <c r="B6" s="129">
        <v>201.6</v>
      </c>
      <c r="C6" s="157">
        <v>11793.6</v>
      </c>
      <c r="D6" s="156"/>
      <c r="E6" s="156"/>
      <c r="H6" s="155" t="s">
        <v>173</v>
      </c>
      <c r="I6" s="186">
        <v>3464.9999999999995</v>
      </c>
      <c r="J6" s="181">
        <v>187109.99999999997</v>
      </c>
    </row>
    <row r="7" spans="1:10" ht="14.25" customHeight="1" x14ac:dyDescent="0.2">
      <c r="A7" s="139"/>
      <c r="B7" s="129"/>
      <c r="C7" s="157"/>
      <c r="D7" s="156"/>
      <c r="E7" s="156"/>
      <c r="G7" s="133"/>
      <c r="H7" s="155" t="s">
        <v>174</v>
      </c>
      <c r="I7" s="186">
        <v>3427.2</v>
      </c>
      <c r="J7" s="181">
        <v>185068.80000000002</v>
      </c>
    </row>
    <row r="8" spans="1:10" ht="14.25" customHeight="1" x14ac:dyDescent="0.2">
      <c r="A8" s="139"/>
      <c r="B8" s="129">
        <v>100.8</v>
      </c>
      <c r="C8" s="157">
        <v>5896.8</v>
      </c>
      <c r="D8" s="156"/>
      <c r="E8" s="156"/>
      <c r="H8" s="155" t="s">
        <v>175</v>
      </c>
      <c r="I8" s="186">
        <v>3830.4000000000005</v>
      </c>
      <c r="J8" s="181">
        <v>206841.60000000003</v>
      </c>
    </row>
    <row r="9" spans="1:10" ht="14.25" customHeight="1" x14ac:dyDescent="0.2">
      <c r="A9" s="139"/>
      <c r="B9" s="129"/>
      <c r="C9" s="157"/>
      <c r="D9" s="156"/>
      <c r="E9" s="156"/>
      <c r="G9" s="132"/>
      <c r="H9" s="155" t="s">
        <v>176</v>
      </c>
      <c r="I9" s="186">
        <v>3263.400000000001</v>
      </c>
      <c r="J9" s="181">
        <v>176223.60000000006</v>
      </c>
    </row>
    <row r="10" spans="1:10" ht="14.25" customHeight="1" x14ac:dyDescent="0.2">
      <c r="A10" s="139"/>
      <c r="B10" s="129"/>
      <c r="C10" s="157"/>
      <c r="D10" s="156"/>
      <c r="E10" s="156"/>
      <c r="G10" s="132"/>
      <c r="H10" s="155" t="s">
        <v>177</v>
      </c>
      <c r="I10" s="186">
        <v>3535.559999999999</v>
      </c>
      <c r="J10" s="181">
        <v>190920.2399999999</v>
      </c>
    </row>
    <row r="11" spans="1:10" ht="14.25" customHeight="1" x14ac:dyDescent="0.2">
      <c r="A11" s="139"/>
      <c r="B11" s="129"/>
      <c r="C11" s="157"/>
      <c r="D11" s="156"/>
      <c r="E11" s="156"/>
      <c r="H11" s="155" t="s">
        <v>178</v>
      </c>
      <c r="I11" s="186">
        <v>4275.18</v>
      </c>
      <c r="J11" s="181">
        <v>230859.71999999997</v>
      </c>
    </row>
    <row r="12" spans="1:10" ht="14.25" customHeight="1" x14ac:dyDescent="0.2">
      <c r="A12" s="139"/>
      <c r="B12" s="129"/>
      <c r="C12" s="157"/>
      <c r="D12" s="156"/>
      <c r="E12" s="156"/>
      <c r="H12" s="155" t="s">
        <v>179</v>
      </c>
      <c r="I12" s="186"/>
      <c r="J12" s="181"/>
    </row>
    <row r="13" spans="1:10" ht="14.25" customHeight="1" x14ac:dyDescent="0.2">
      <c r="A13" s="139"/>
      <c r="B13" s="129"/>
      <c r="C13" s="157"/>
      <c r="D13" s="156"/>
      <c r="E13" s="156"/>
      <c r="H13" s="155" t="s">
        <v>180</v>
      </c>
      <c r="I13" s="186"/>
      <c r="J13" s="181"/>
    </row>
    <row r="14" spans="1:10" ht="14.25" customHeight="1" x14ac:dyDescent="0.2">
      <c r="A14" s="139"/>
      <c r="B14" s="129"/>
      <c r="C14" s="157"/>
      <c r="D14" s="156"/>
      <c r="E14" s="156"/>
      <c r="H14" s="155" t="s">
        <v>181</v>
      </c>
      <c r="I14" s="186"/>
      <c r="J14" s="181"/>
    </row>
    <row r="15" spans="1:10" ht="14.25" customHeight="1" x14ac:dyDescent="0.2">
      <c r="A15" s="139"/>
      <c r="B15" s="129"/>
      <c r="C15" s="157"/>
      <c r="D15" s="156"/>
      <c r="E15" s="156"/>
      <c r="H15" s="182"/>
      <c r="I15" s="186"/>
      <c r="J15" s="181"/>
    </row>
    <row r="16" spans="1:10" ht="14.25" customHeight="1" thickBot="1" x14ac:dyDescent="0.25">
      <c r="A16" s="139"/>
      <c r="B16" s="129"/>
      <c r="C16" s="157"/>
      <c r="D16" s="156"/>
      <c r="E16" s="156"/>
      <c r="H16" s="183" t="s">
        <v>55</v>
      </c>
      <c r="I16" s="187">
        <f>SUM(I3:I15)</f>
        <v>31430.7</v>
      </c>
      <c r="J16" s="184">
        <f>SUM(J3:J15)</f>
        <v>1697257.8</v>
      </c>
    </row>
    <row r="17" spans="1:10" ht="14.25" customHeight="1" thickTop="1" x14ac:dyDescent="0.2">
      <c r="A17" s="139"/>
      <c r="B17" s="129"/>
      <c r="C17" s="157"/>
      <c r="D17" s="156"/>
      <c r="E17" s="156"/>
      <c r="H17" s="155"/>
      <c r="I17" s="186"/>
      <c r="J17" s="181"/>
    </row>
    <row r="18" spans="1:10" ht="14.25" customHeight="1" x14ac:dyDescent="0.2">
      <c r="A18" s="139"/>
      <c r="B18" s="130"/>
      <c r="C18" s="205"/>
      <c r="D18" s="156"/>
      <c r="E18" s="156"/>
      <c r="H18" s="179" t="s">
        <v>182</v>
      </c>
      <c r="I18" s="178">
        <f>I16/10</f>
        <v>3143.07</v>
      </c>
      <c r="J18" s="180">
        <f>J16/10</f>
        <v>169725.78</v>
      </c>
    </row>
    <row r="19" spans="1:10" ht="14.25" customHeight="1" x14ac:dyDescent="0.2">
      <c r="A19" s="139"/>
      <c r="B19" s="129"/>
      <c r="C19" s="157"/>
      <c r="D19" s="156"/>
      <c r="E19" s="156"/>
    </row>
    <row r="20" spans="1:10" ht="14.25" customHeight="1" x14ac:dyDescent="0.2">
      <c r="A20" s="139"/>
      <c r="B20" s="129"/>
      <c r="C20" s="157"/>
      <c r="D20" s="156"/>
      <c r="E20" s="156"/>
    </row>
    <row r="21" spans="1:10" ht="14.25" customHeight="1" x14ac:dyDescent="0.2">
      <c r="A21" s="139"/>
      <c r="B21" s="129"/>
      <c r="C21" s="157"/>
      <c r="D21" s="156"/>
      <c r="E21" s="156"/>
    </row>
    <row r="22" spans="1:10" ht="14.25" customHeight="1" x14ac:dyDescent="0.2">
      <c r="A22" s="139"/>
      <c r="B22" s="129"/>
      <c r="C22" s="157"/>
      <c r="D22" s="156"/>
      <c r="E22" s="156"/>
      <c r="F22" s="132"/>
    </row>
    <row r="23" spans="1:10" ht="14.25" customHeight="1" x14ac:dyDescent="0.2">
      <c r="A23" s="139"/>
      <c r="B23" s="129"/>
      <c r="C23" s="157"/>
      <c r="D23" s="156"/>
      <c r="E23" s="156"/>
    </row>
    <row r="24" spans="1:10" ht="14.25" customHeight="1" x14ac:dyDescent="0.2">
      <c r="A24" s="139"/>
      <c r="B24" s="129"/>
      <c r="C24" s="157"/>
      <c r="D24" s="156"/>
      <c r="E24" s="156"/>
    </row>
    <row r="25" spans="1:10" ht="14.25" customHeight="1" x14ac:dyDescent="0.2">
      <c r="A25" s="139"/>
      <c r="B25" s="129"/>
      <c r="C25" s="157"/>
      <c r="D25" s="156"/>
      <c r="E25" s="156"/>
      <c r="F25" s="132"/>
      <c r="H25" s="177"/>
    </row>
    <row r="26" spans="1:10" ht="14.25" customHeight="1" x14ac:dyDescent="0.2">
      <c r="A26" s="139"/>
      <c r="B26" s="129"/>
      <c r="C26" s="157"/>
      <c r="D26" s="156"/>
      <c r="E26" s="156"/>
      <c r="F26" s="132"/>
    </row>
    <row r="27" spans="1:10" ht="14.25" customHeight="1" x14ac:dyDescent="0.2">
      <c r="A27" s="139"/>
      <c r="B27" s="129"/>
      <c r="C27" s="157"/>
      <c r="D27" s="156"/>
      <c r="E27" s="156"/>
      <c r="F27" s="132"/>
    </row>
    <row r="28" spans="1:10" ht="14.25" customHeight="1" x14ac:dyDescent="0.2">
      <c r="A28" s="139"/>
      <c r="B28" s="129"/>
      <c r="C28" s="235"/>
      <c r="D28" s="156"/>
      <c r="E28" s="156"/>
      <c r="F28" s="132"/>
    </row>
    <row r="29" spans="1:10" ht="14.25" customHeight="1" x14ac:dyDescent="0.2">
      <c r="A29" s="139"/>
      <c r="B29" s="129"/>
      <c r="C29" s="157"/>
      <c r="D29" s="156"/>
      <c r="E29" s="156"/>
      <c r="F29" s="132"/>
    </row>
    <row r="30" spans="1:10" ht="14.25" customHeight="1" x14ac:dyDescent="0.2">
      <c r="A30" s="139"/>
      <c r="B30" s="129"/>
      <c r="C30" s="157"/>
      <c r="D30" s="156"/>
      <c r="E30" s="156"/>
      <c r="F30" s="132"/>
    </row>
    <row r="31" spans="1:10" ht="14.25" customHeight="1" x14ac:dyDescent="0.2">
      <c r="A31" s="139"/>
      <c r="B31" s="129"/>
      <c r="C31" s="157"/>
      <c r="D31" s="156"/>
      <c r="E31" s="156"/>
      <c r="F31" s="132"/>
    </row>
    <row r="32" spans="1:10" ht="14.25" customHeight="1" x14ac:dyDescent="0.2">
      <c r="A32" s="139"/>
      <c r="B32" s="129"/>
      <c r="C32" s="157"/>
      <c r="D32" s="156"/>
      <c r="E32" s="156"/>
      <c r="F32" s="132"/>
    </row>
    <row r="33" spans="1:9" ht="14.25" customHeight="1" x14ac:dyDescent="0.2">
      <c r="A33" s="139"/>
      <c r="B33" s="129"/>
      <c r="C33" s="157"/>
      <c r="D33" s="156"/>
      <c r="E33" s="156"/>
    </row>
    <row r="34" spans="1:9" ht="14.25" customHeight="1" x14ac:dyDescent="0.2">
      <c r="A34" s="139"/>
      <c r="B34" s="129"/>
      <c r="C34" s="157"/>
      <c r="D34" s="156"/>
      <c r="E34" s="156"/>
    </row>
    <row r="35" spans="1:9" ht="14.25" customHeight="1" x14ac:dyDescent="0.2">
      <c r="A35" s="139"/>
      <c r="B35" s="129"/>
      <c r="C35" s="157"/>
      <c r="D35" s="156"/>
      <c r="E35" s="156"/>
    </row>
    <row r="36" spans="1:9" ht="14.25" customHeight="1" x14ac:dyDescent="0.2">
      <c r="A36" s="139"/>
      <c r="B36" s="129"/>
      <c r="C36" s="157"/>
      <c r="D36" s="156"/>
      <c r="E36" s="156"/>
    </row>
    <row r="37" spans="1:9" ht="14.25" customHeight="1" x14ac:dyDescent="0.2">
      <c r="A37" s="139"/>
      <c r="B37" s="129"/>
      <c r="C37" s="157"/>
      <c r="D37" s="156"/>
      <c r="E37" s="156"/>
    </row>
    <row r="38" spans="1:9" ht="14.25" customHeight="1" x14ac:dyDescent="0.2">
      <c r="A38" s="139"/>
      <c r="B38" s="129"/>
      <c r="C38" s="157"/>
      <c r="D38" s="154"/>
      <c r="E38" s="156"/>
    </row>
    <row r="39" spans="1:9" ht="14.25" customHeight="1" x14ac:dyDescent="0.2">
      <c r="A39" s="139"/>
      <c r="B39" s="129"/>
      <c r="C39" s="157"/>
      <c r="D39" s="154"/>
      <c r="E39" s="156"/>
    </row>
    <row r="40" spans="1:9" ht="14.25" customHeight="1" x14ac:dyDescent="0.2">
      <c r="A40" s="139"/>
      <c r="B40" s="129"/>
      <c r="C40" s="157"/>
      <c r="D40" s="154"/>
      <c r="E40" s="156"/>
    </row>
    <row r="41" spans="1:9" ht="14.25" customHeight="1" x14ac:dyDescent="0.2">
      <c r="A41" s="139"/>
      <c r="B41" s="129"/>
      <c r="C41" s="157"/>
      <c r="D41" s="154"/>
      <c r="E41" s="156"/>
    </row>
    <row r="42" spans="1:9" ht="14.25" customHeight="1" x14ac:dyDescent="0.2">
      <c r="A42" s="139"/>
      <c r="B42" s="129"/>
      <c r="C42" s="157"/>
      <c r="D42" s="154"/>
      <c r="E42" s="156"/>
    </row>
    <row r="43" spans="1:9" ht="14.25" customHeight="1" x14ac:dyDescent="0.2">
      <c r="A43" s="130" t="s">
        <v>55</v>
      </c>
      <c r="B43" s="142">
        <f>SUM(B3:B42)</f>
        <v>302.39999999999998</v>
      </c>
      <c r="C43" s="142">
        <f>SUM(C3:C42)</f>
        <v>17690.400000000001</v>
      </c>
      <c r="D43" s="129"/>
      <c r="E43" s="129"/>
      <c r="H43" s="206">
        <v>58.5</v>
      </c>
      <c r="I43" s="177" t="s">
        <v>317</v>
      </c>
    </row>
  </sheetData>
  <mergeCells count="1">
    <mergeCell ref="A1:C1"/>
  </mergeCells>
  <phoneticPr fontId="38" type="noConversion"/>
  <pageMargins left="0.7" right="0.7" top="0.75" bottom="0.75" header="0.3" footer="0.3"/>
  <pageSetup paperSize="9" scale="12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Drop down list </vt:lpstr>
      <vt:lpstr>DNxx(reconJesselton)</vt:lpstr>
      <vt:lpstr>DNxx(BstoneStoreRentUSD)</vt:lpstr>
      <vt:lpstr>DNxx(JesseltonDetentionChar)</vt:lpstr>
      <vt:lpstr>DNxx(JesseltonStoreRent)</vt:lpstr>
      <vt:lpstr>DNxx(JesseltonRecondition)</vt:lpstr>
      <vt:lpstr>DNxx(GHS Tptn)StoreRent</vt:lpstr>
      <vt:lpstr>DNxx.PS09.STT.160USCHS(THC)</vt:lpstr>
      <vt:lpstr>DNxx.MR07.NCE.160shortship</vt:lpstr>
      <vt:lpstr>DNxx.PS08.JA.03(SRIB11cntrs)</vt:lpstr>
      <vt:lpstr>DN202512-xx GHS FKLIFTDEC25</vt:lpstr>
      <vt:lpstr>DNxx(STTStoreRent)</vt:lpstr>
      <vt:lpstr>DNxx.JS08.BS90USSSI03brkblk</vt:lpstr>
      <vt:lpstr>DNxx.JS08.BS60USSSI17brkblk</vt:lpstr>
      <vt:lpstr>DNxxPS08.STT.96AUFRE07(mb5)</vt:lpstr>
      <vt:lpstr>DNxx.PS07.NCE(SRIB11cntrs)</vt:lpstr>
      <vt:lpstr>DN32Aug.PS08.STT.96AUFRE(mbTHC)</vt:lpstr>
      <vt:lpstr>DNxx.PS08.STT.96AUFRE(mbTHC)</vt:lpstr>
      <vt:lpstr>DNxx.JS09.STT.32AUMEL(swpbTHC)</vt:lpstr>
      <vt:lpstr>DNxxOct(GHS Tptn)</vt:lpstr>
      <vt:lpstr>DNxxOct.PS09.BST.80MXMTY08</vt:lpstr>
      <vt:lpstr>DNxxOct.JS09.STT.160CNTAO04</vt:lpstr>
      <vt:lpstr>DNxx.PS09.BST.15CAVAN(15mb</vt:lpstr>
      <vt:lpstr>DNxxSep.JS10.BST.90USSAV01(15MB</vt:lpstr>
      <vt:lpstr>DNxxSep.JS10.BST.60USSAV04(15MB</vt:lpstr>
      <vt:lpstr>Oct</vt:lpstr>
    </vt:vector>
  </TitlesOfParts>
  <Manager/>
  <Company>JHPL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JHPL</dc:creator>
  <cp:keywords/>
  <dc:description/>
  <cp:lastModifiedBy>Dinamik Shipping</cp:lastModifiedBy>
  <cp:revision/>
  <cp:lastPrinted>2026-09-14T03:28:00Z</cp:lastPrinted>
  <dcterms:created xsi:type="dcterms:W3CDTF">2012-03-26T08:30:59Z</dcterms:created>
  <dcterms:modified xsi:type="dcterms:W3CDTF">2026-09-22T06:50:06Z</dcterms:modified>
  <cp:category/>
  <cp:contentStatus/>
</cp:coreProperties>
</file>